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Workbook" defaultThemeVersion="166925"/>
  <mc:AlternateContent xmlns:mc="http://schemas.openxmlformats.org/markup-compatibility/2006">
    <mc:Choice Requires="x15">
      <x15ac:absPath xmlns:x15ac="http://schemas.microsoft.com/office/spreadsheetml/2010/11/ac" url="C:\Users\Kiwis\OneDrive\Desktop\"/>
    </mc:Choice>
  </mc:AlternateContent>
  <xr:revisionPtr revIDLastSave="67" documentId="13_ncr:1_{72163965-79ED-4182-90B3-CAB259C2CE44}" xr6:coauthVersionLast="40" xr6:coauthVersionMax="40" xr10:uidLastSave="{E9700B3F-D61C-4EA6-B3B9-E2E53BE868AD}"/>
  <bookViews>
    <workbookView xWindow="0" yWindow="0" windowWidth="28800" windowHeight="12225" xr2:uid="{40BA5F0C-EABD-430A-8F4F-A861AA3B52DE}"/>
    <workbookView visibility="hidden" xWindow="0" yWindow="0" windowWidth="28800" windowHeight="12225" xr2:uid="{0964DCD0-BB19-4536-90FA-91A56FC9E89D}"/>
  </bookViews>
  <sheets>
    <sheet name="T1" sheetId="1" r:id="rId1"/>
    <sheet name="T2" sheetId="2" r:id="rId2"/>
    <sheet name="T3" sheetId="3" r:id="rId3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7" i="1" l="1"/>
  <c r="S46" i="1"/>
  <c r="Y6" i="1" l="1"/>
  <c r="S25" i="1" l="1"/>
  <c r="S67" i="1" s="1"/>
  <c r="J67" i="1" s="1"/>
  <c r="S26" i="1"/>
  <c r="S27" i="1"/>
  <c r="S48" i="1" s="1"/>
  <c r="S69" i="1" s="1"/>
  <c r="O69" i="1" s="1"/>
  <c r="S28" i="1"/>
  <c r="S49" i="1" s="1"/>
  <c r="S29" i="1"/>
  <c r="S50" i="1" s="1"/>
  <c r="S71" i="1" s="1"/>
  <c r="S92" i="1" s="1"/>
  <c r="S30" i="1"/>
  <c r="S51" i="1" s="1"/>
  <c r="S72" i="1" s="1"/>
  <c r="S93" i="1" s="1"/>
  <c r="S31" i="1"/>
  <c r="S52" i="1" s="1"/>
  <c r="S73" i="1" s="1"/>
  <c r="S94" i="1" s="1"/>
  <c r="S115" i="1" s="1"/>
  <c r="S136" i="1" s="1"/>
  <c r="S157" i="1" s="1"/>
  <c r="S178" i="1" s="1"/>
  <c r="S199" i="1" s="1"/>
  <c r="S220" i="1" s="1"/>
  <c r="S241" i="1" s="1"/>
  <c r="S32" i="1"/>
  <c r="S53" i="1" s="1"/>
  <c r="S74" i="1" s="1"/>
  <c r="S33" i="1"/>
  <c r="S54" i="1" s="1"/>
  <c r="S75" i="1" s="1"/>
  <c r="S34" i="1"/>
  <c r="S55" i="1" s="1"/>
  <c r="S76" i="1" s="1"/>
  <c r="O76" i="1" s="1"/>
  <c r="S35" i="1"/>
  <c r="S56" i="1" s="1"/>
  <c r="S77" i="1" s="1"/>
  <c r="J77" i="1" s="1"/>
  <c r="S36" i="1"/>
  <c r="S57" i="1" s="1"/>
  <c r="S78" i="1" s="1"/>
  <c r="S37" i="1"/>
  <c r="S58" i="1" s="1"/>
  <c r="S79" i="1" s="1"/>
  <c r="S38" i="1"/>
  <c r="S59" i="1" s="1"/>
  <c r="S80" i="1" s="1"/>
  <c r="S101" i="1" s="1"/>
  <c r="S122" i="1" s="1"/>
  <c r="S143" i="1" s="1"/>
  <c r="S164" i="1" s="1"/>
  <c r="S185" i="1" s="1"/>
  <c r="S206" i="1" s="1"/>
  <c r="S227" i="1" s="1"/>
  <c r="S248" i="1" s="1"/>
  <c r="S39" i="1"/>
  <c r="S60" i="1" s="1"/>
  <c r="S81" i="1" s="1"/>
  <c r="S102" i="1" s="1"/>
  <c r="S40" i="1"/>
  <c r="S61" i="1" s="1"/>
  <c r="S82" i="1" s="1"/>
  <c r="O82" i="1" s="1"/>
  <c r="S41" i="1"/>
  <c r="S62" i="1" s="1"/>
  <c r="S83" i="1" s="1"/>
  <c r="S42" i="1"/>
  <c r="S63" i="1" s="1"/>
  <c r="S84" i="1" s="1"/>
  <c r="S43" i="1"/>
  <c r="S64" i="1" s="1"/>
  <c r="S85" i="1" s="1"/>
  <c r="O85" i="1" s="1"/>
  <c r="S44" i="1"/>
  <c r="S65" i="1" s="1"/>
  <c r="S86" i="1" s="1"/>
  <c r="S45" i="1"/>
  <c r="S66" i="1" s="1"/>
  <c r="S87" i="1" s="1"/>
  <c r="S108" i="1" s="1"/>
  <c r="S129" i="1" s="1"/>
  <c r="S150" i="1" s="1"/>
  <c r="S171" i="1" s="1"/>
  <c r="S192" i="1" s="1"/>
  <c r="S213" i="1" s="1"/>
  <c r="S234" i="1" s="1"/>
  <c r="S68" i="1"/>
  <c r="U254" i="1"/>
  <c r="U253" i="1"/>
  <c r="U252" i="1"/>
  <c r="U251" i="1"/>
  <c r="U250" i="1"/>
  <c r="U249" i="1"/>
  <c r="U247" i="1"/>
  <c r="U246" i="1"/>
  <c r="U245" i="1"/>
  <c r="U244" i="1"/>
  <c r="U243" i="1"/>
  <c r="U242" i="1"/>
  <c r="U240" i="1"/>
  <c r="U239" i="1"/>
  <c r="U238" i="1"/>
  <c r="U237" i="1"/>
  <c r="U236" i="1"/>
  <c r="U235" i="1"/>
  <c r="U233" i="1"/>
  <c r="U232" i="1"/>
  <c r="U231" i="1"/>
  <c r="U230" i="1"/>
  <c r="U229" i="1"/>
  <c r="U228" i="1"/>
  <c r="U226" i="1"/>
  <c r="U225" i="1"/>
  <c r="U224" i="1"/>
  <c r="U223" i="1"/>
  <c r="U222" i="1"/>
  <c r="U221" i="1"/>
  <c r="U219" i="1"/>
  <c r="U218" i="1"/>
  <c r="U217" i="1"/>
  <c r="U216" i="1"/>
  <c r="U215" i="1"/>
  <c r="U214" i="1"/>
  <c r="U212" i="1"/>
  <c r="U211" i="1"/>
  <c r="U210" i="1"/>
  <c r="U209" i="1"/>
  <c r="U208" i="1"/>
  <c r="U207" i="1"/>
  <c r="U205" i="1"/>
  <c r="U204" i="1"/>
  <c r="U203" i="1"/>
  <c r="U202" i="1"/>
  <c r="U201" i="1"/>
  <c r="U200" i="1"/>
  <c r="U198" i="1"/>
  <c r="U197" i="1"/>
  <c r="U196" i="1"/>
  <c r="U195" i="1"/>
  <c r="U194" i="1"/>
  <c r="U193" i="1"/>
  <c r="U191" i="1"/>
  <c r="U190" i="1"/>
  <c r="U189" i="1"/>
  <c r="U188" i="1"/>
  <c r="U187" i="1"/>
  <c r="U186" i="1"/>
  <c r="U184" i="1"/>
  <c r="U183" i="1"/>
  <c r="U182" i="1"/>
  <c r="U181" i="1"/>
  <c r="U180" i="1"/>
  <c r="U179" i="1"/>
  <c r="U177" i="1"/>
  <c r="U176" i="1"/>
  <c r="U175" i="1"/>
  <c r="U174" i="1"/>
  <c r="U173" i="1"/>
  <c r="U172" i="1"/>
  <c r="U170" i="1"/>
  <c r="U169" i="1"/>
  <c r="U168" i="1"/>
  <c r="U167" i="1"/>
  <c r="U166" i="1"/>
  <c r="U165" i="1"/>
  <c r="U163" i="1"/>
  <c r="U162" i="1"/>
  <c r="U161" i="1"/>
  <c r="U160" i="1"/>
  <c r="U159" i="1"/>
  <c r="U158" i="1"/>
  <c r="U156" i="1"/>
  <c r="U155" i="1"/>
  <c r="U154" i="1"/>
  <c r="U153" i="1"/>
  <c r="U152" i="1"/>
  <c r="U151" i="1"/>
  <c r="U149" i="1"/>
  <c r="U148" i="1"/>
  <c r="U147" i="1"/>
  <c r="U146" i="1"/>
  <c r="U145" i="1"/>
  <c r="U144" i="1"/>
  <c r="U142" i="1"/>
  <c r="U141" i="1"/>
  <c r="U140" i="1"/>
  <c r="U139" i="1"/>
  <c r="U138" i="1"/>
  <c r="U137" i="1"/>
  <c r="U135" i="1"/>
  <c r="U134" i="1"/>
  <c r="U133" i="1"/>
  <c r="U132" i="1"/>
  <c r="U131" i="1"/>
  <c r="U130" i="1"/>
  <c r="U128" i="1"/>
  <c r="U127" i="1"/>
  <c r="U126" i="1"/>
  <c r="U125" i="1"/>
  <c r="U124" i="1"/>
  <c r="U123" i="1"/>
  <c r="U121" i="1"/>
  <c r="U120" i="1"/>
  <c r="U119" i="1"/>
  <c r="U118" i="1"/>
  <c r="U117" i="1"/>
  <c r="U116" i="1"/>
  <c r="U114" i="1"/>
  <c r="U113" i="1"/>
  <c r="U112" i="1"/>
  <c r="U111" i="1"/>
  <c r="U110" i="1"/>
  <c r="U109" i="1"/>
  <c r="U107" i="1"/>
  <c r="U106" i="1"/>
  <c r="U105" i="1"/>
  <c r="U104" i="1"/>
  <c r="U103" i="1"/>
  <c r="U102" i="1"/>
  <c r="U100" i="1"/>
  <c r="U99" i="1"/>
  <c r="U98" i="1"/>
  <c r="U97" i="1"/>
  <c r="U96" i="1"/>
  <c r="U95" i="1"/>
  <c r="U93" i="1"/>
  <c r="U92" i="1"/>
  <c r="U91" i="1"/>
  <c r="U90" i="1"/>
  <c r="U89" i="1"/>
  <c r="U88" i="1"/>
  <c r="U86" i="1"/>
  <c r="U85" i="1"/>
  <c r="U84" i="1"/>
  <c r="U83" i="1"/>
  <c r="U82" i="1"/>
  <c r="U81" i="1"/>
  <c r="U79" i="1"/>
  <c r="U78" i="1"/>
  <c r="U77" i="1"/>
  <c r="U76" i="1"/>
  <c r="U75" i="1"/>
  <c r="U74" i="1"/>
  <c r="U72" i="1"/>
  <c r="U71" i="1"/>
  <c r="U70" i="1"/>
  <c r="U69" i="1"/>
  <c r="U68" i="1"/>
  <c r="U67" i="1"/>
  <c r="O19" i="1"/>
  <c r="O20" i="1"/>
  <c r="O21" i="1"/>
  <c r="O18" i="1"/>
  <c r="O23" i="1"/>
  <c r="O14" i="1"/>
  <c r="O15" i="1"/>
  <c r="O16" i="1"/>
  <c r="O6" i="1"/>
  <c r="O7" i="1"/>
  <c r="O8" i="1"/>
  <c r="O9" i="1"/>
  <c r="S95" i="1" l="1"/>
  <c r="S116" i="1" s="1"/>
  <c r="J74" i="1"/>
  <c r="T74" i="1" s="1"/>
  <c r="S70" i="1"/>
  <c r="J70" i="1" s="1"/>
  <c r="O49" i="1"/>
  <c r="W116" i="1"/>
  <c r="W123" i="1"/>
  <c r="W172" i="1"/>
  <c r="W179" i="1"/>
  <c r="W200" i="1"/>
  <c r="W242" i="1"/>
  <c r="W102" i="1"/>
  <c r="W151" i="1"/>
  <c r="W67" i="1"/>
  <c r="W74" i="1"/>
  <c r="W130" i="1"/>
  <c r="W165" i="1"/>
  <c r="W186" i="1"/>
  <c r="W193" i="1"/>
  <c r="J85" i="1"/>
  <c r="T85" i="1" s="1"/>
  <c r="W137" i="1"/>
  <c r="W144" i="1"/>
  <c r="W207" i="1"/>
  <c r="W214" i="1"/>
  <c r="W221" i="1"/>
  <c r="W235" i="1"/>
  <c r="W81" i="1"/>
  <c r="W158" i="1"/>
  <c r="W228" i="1"/>
  <c r="W249" i="1"/>
  <c r="O67" i="1"/>
  <c r="T67" i="1" s="1"/>
  <c r="W88" i="1"/>
  <c r="W95" i="1"/>
  <c r="W109" i="1"/>
  <c r="J84" i="1"/>
  <c r="S105" i="1"/>
  <c r="O84" i="1"/>
  <c r="J93" i="1"/>
  <c r="S114" i="1"/>
  <c r="O93" i="1"/>
  <c r="S104" i="1"/>
  <c r="O83" i="1"/>
  <c r="J83" i="1"/>
  <c r="J78" i="1"/>
  <c r="S99" i="1"/>
  <c r="O78" i="1"/>
  <c r="S123" i="1"/>
  <c r="J123" i="1" s="1"/>
  <c r="J102" i="1"/>
  <c r="J79" i="1"/>
  <c r="S100" i="1"/>
  <c r="S113" i="1"/>
  <c r="O92" i="1"/>
  <c r="J92" i="1"/>
  <c r="O75" i="1"/>
  <c r="J75" i="1"/>
  <c r="S96" i="1"/>
  <c r="O102" i="1"/>
  <c r="O81" i="1"/>
  <c r="J81" i="1"/>
  <c r="O79" i="1"/>
  <c r="J86" i="1"/>
  <c r="O86" i="1"/>
  <c r="S107" i="1"/>
  <c r="J107" i="1" s="1"/>
  <c r="O95" i="1"/>
  <c r="J95" i="1"/>
  <c r="J69" i="1"/>
  <c r="T69" i="1" s="1"/>
  <c r="S90" i="1"/>
  <c r="J72" i="1"/>
  <c r="O72" i="1"/>
  <c r="S97" i="1"/>
  <c r="J76" i="1"/>
  <c r="T76" i="1" s="1"/>
  <c r="J68" i="1"/>
  <c r="O68" i="1"/>
  <c r="S89" i="1"/>
  <c r="O77" i="1"/>
  <c r="T77" i="1" s="1"/>
  <c r="S98" i="1"/>
  <c r="J71" i="1"/>
  <c r="O71" i="1"/>
  <c r="S103" i="1"/>
  <c r="J82" i="1"/>
  <c r="T82" i="1" s="1"/>
  <c r="S106" i="1"/>
  <c r="S88" i="1"/>
  <c r="Y5" i="1"/>
  <c r="Y4" i="1"/>
  <c r="A4" i="3"/>
  <c r="U25" i="1"/>
  <c r="O70" i="1" l="1"/>
  <c r="T70" i="1" s="1"/>
  <c r="S91" i="1"/>
  <c r="J91" i="1" s="1"/>
  <c r="W66" i="1"/>
  <c r="W171" i="1"/>
  <c r="W108" i="1"/>
  <c r="W129" i="1"/>
  <c r="W213" i="1"/>
  <c r="T75" i="1"/>
  <c r="T79" i="1"/>
  <c r="T83" i="1"/>
  <c r="W192" i="1"/>
  <c r="W150" i="1"/>
  <c r="W87" i="1"/>
  <c r="W234" i="1"/>
  <c r="T92" i="1"/>
  <c r="S117" i="1"/>
  <c r="S138" i="1" s="1"/>
  <c r="O96" i="1"/>
  <c r="S121" i="1"/>
  <c r="O100" i="1"/>
  <c r="J100" i="1"/>
  <c r="T72" i="1"/>
  <c r="O116" i="1"/>
  <c r="S137" i="1"/>
  <c r="J116" i="1"/>
  <c r="J99" i="1"/>
  <c r="O99" i="1"/>
  <c r="S120" i="1"/>
  <c r="J96" i="1"/>
  <c r="S128" i="1"/>
  <c r="S149" i="1" s="1"/>
  <c r="O107" i="1"/>
  <c r="T107" i="1" s="1"/>
  <c r="T93" i="1"/>
  <c r="S109" i="1"/>
  <c r="S130" i="1" s="1"/>
  <c r="O88" i="1"/>
  <c r="J88" i="1"/>
  <c r="T68" i="1"/>
  <c r="T102" i="1"/>
  <c r="S127" i="1"/>
  <c r="S148" i="1" s="1"/>
  <c r="O106" i="1"/>
  <c r="J106" i="1"/>
  <c r="T71" i="1"/>
  <c r="T86" i="1"/>
  <c r="S144" i="1"/>
  <c r="O123" i="1"/>
  <c r="T123" i="1" s="1"/>
  <c r="O105" i="1"/>
  <c r="S126" i="1"/>
  <c r="J105" i="1"/>
  <c r="S124" i="1"/>
  <c r="O103" i="1"/>
  <c r="J103" i="1"/>
  <c r="J89" i="1"/>
  <c r="S110" i="1"/>
  <c r="O89" i="1"/>
  <c r="T81" i="1"/>
  <c r="O114" i="1"/>
  <c r="S135" i="1"/>
  <c r="J114" i="1"/>
  <c r="S111" i="1"/>
  <c r="S132" i="1" s="1"/>
  <c r="J90" i="1"/>
  <c r="O90" i="1"/>
  <c r="T78" i="1"/>
  <c r="O98" i="1"/>
  <c r="J98" i="1"/>
  <c r="S119" i="1"/>
  <c r="O97" i="1"/>
  <c r="S118" i="1"/>
  <c r="J97" i="1"/>
  <c r="T95" i="1"/>
  <c r="S112" i="1"/>
  <c r="S133" i="1" s="1"/>
  <c r="S134" i="1"/>
  <c r="O113" i="1"/>
  <c r="J113" i="1"/>
  <c r="J104" i="1"/>
  <c r="S125" i="1"/>
  <c r="O104" i="1"/>
  <c r="T84" i="1"/>
  <c r="J25" i="1"/>
  <c r="O25" i="1"/>
  <c r="W4" i="3"/>
  <c r="U4" i="3"/>
  <c r="S4" i="3"/>
  <c r="Q4" i="3"/>
  <c r="O4" i="3"/>
  <c r="M4" i="3"/>
  <c r="K4" i="3"/>
  <c r="I4" i="3"/>
  <c r="G4" i="3"/>
  <c r="E4" i="3"/>
  <c r="C4" i="3"/>
  <c r="J128" i="1" l="1"/>
  <c r="O91" i="1"/>
  <c r="T91" i="1" s="1"/>
  <c r="V74" i="1"/>
  <c r="T88" i="1"/>
  <c r="T98" i="1"/>
  <c r="T103" i="1"/>
  <c r="J117" i="1"/>
  <c r="O117" i="1"/>
  <c r="O111" i="1"/>
  <c r="T116" i="1"/>
  <c r="V67" i="1"/>
  <c r="O127" i="1"/>
  <c r="J111" i="1"/>
  <c r="T100" i="1"/>
  <c r="O135" i="1"/>
  <c r="J135" i="1"/>
  <c r="S156" i="1"/>
  <c r="S151" i="1"/>
  <c r="J130" i="1"/>
  <c r="O130" i="1"/>
  <c r="S169" i="1"/>
  <c r="O148" i="1"/>
  <c r="J148" i="1"/>
  <c r="O109" i="1"/>
  <c r="O133" i="1"/>
  <c r="J133" i="1"/>
  <c r="S154" i="1"/>
  <c r="S140" i="1"/>
  <c r="J119" i="1"/>
  <c r="O119" i="1"/>
  <c r="S145" i="1"/>
  <c r="J124" i="1"/>
  <c r="O124" i="1"/>
  <c r="S142" i="1"/>
  <c r="J121" i="1"/>
  <c r="O121" i="1"/>
  <c r="J112" i="1"/>
  <c r="T90" i="1"/>
  <c r="S158" i="1"/>
  <c r="J137" i="1"/>
  <c r="T137" i="1" s="1"/>
  <c r="O132" i="1"/>
  <c r="S153" i="1"/>
  <c r="J132" i="1"/>
  <c r="S131" i="1"/>
  <c r="J110" i="1"/>
  <c r="O110" i="1"/>
  <c r="T105" i="1"/>
  <c r="T96" i="1"/>
  <c r="O138" i="1"/>
  <c r="J138" i="1"/>
  <c r="S159" i="1"/>
  <c r="S139" i="1"/>
  <c r="J118" i="1"/>
  <c r="O118" i="1"/>
  <c r="J109" i="1"/>
  <c r="J134" i="1"/>
  <c r="O134" i="1"/>
  <c r="S155" i="1"/>
  <c r="T99" i="1"/>
  <c r="V81" i="1"/>
  <c r="O144" i="1"/>
  <c r="J144" i="1"/>
  <c r="S165" i="1"/>
  <c r="S146" i="1"/>
  <c r="O125" i="1"/>
  <c r="J125" i="1"/>
  <c r="S170" i="1"/>
  <c r="O149" i="1"/>
  <c r="J149" i="1"/>
  <c r="O112" i="1"/>
  <c r="O128" i="1"/>
  <c r="T128" i="1" s="1"/>
  <c r="T104" i="1"/>
  <c r="J127" i="1"/>
  <c r="T113" i="1"/>
  <c r="T97" i="1"/>
  <c r="T114" i="1"/>
  <c r="T89" i="1"/>
  <c r="S147" i="1"/>
  <c r="O126" i="1"/>
  <c r="J126" i="1"/>
  <c r="T106" i="1"/>
  <c r="O120" i="1"/>
  <c r="S141" i="1"/>
  <c r="J120" i="1"/>
  <c r="T25" i="1"/>
  <c r="G11" i="1"/>
  <c r="Y15" i="1"/>
  <c r="Y14" i="1"/>
  <c r="Y13" i="1"/>
  <c r="Y12" i="1"/>
  <c r="Y11" i="1"/>
  <c r="Y10" i="1"/>
  <c r="Y9" i="1"/>
  <c r="Y8" i="1"/>
  <c r="Y7" i="1"/>
  <c r="O50" i="1"/>
  <c r="O30" i="1"/>
  <c r="J35" i="1"/>
  <c r="O40" i="1"/>
  <c r="J28" i="1"/>
  <c r="J4" i="1"/>
  <c r="U65" i="1"/>
  <c r="U64" i="1"/>
  <c r="U63" i="1"/>
  <c r="U62" i="1"/>
  <c r="U61" i="1"/>
  <c r="U60" i="1"/>
  <c r="U58" i="1"/>
  <c r="U57" i="1"/>
  <c r="U56" i="1"/>
  <c r="U55" i="1"/>
  <c r="U54" i="1"/>
  <c r="U53" i="1"/>
  <c r="U51" i="1"/>
  <c r="U50" i="1"/>
  <c r="U49" i="1"/>
  <c r="U48" i="1"/>
  <c r="U47" i="1"/>
  <c r="U46" i="1"/>
  <c r="U32" i="1"/>
  <c r="U33" i="1"/>
  <c r="U34" i="1"/>
  <c r="U35" i="1"/>
  <c r="U36" i="1"/>
  <c r="U37" i="1"/>
  <c r="U39" i="1"/>
  <c r="U40" i="1"/>
  <c r="U41" i="1"/>
  <c r="U42" i="1"/>
  <c r="U43" i="1"/>
  <c r="U44" i="1"/>
  <c r="U30" i="1"/>
  <c r="U29" i="1"/>
  <c r="U28" i="1"/>
  <c r="U27" i="1"/>
  <c r="U26" i="1"/>
  <c r="U23" i="1"/>
  <c r="U22" i="1"/>
  <c r="U21" i="1"/>
  <c r="U20" i="1"/>
  <c r="U19" i="1"/>
  <c r="U18" i="1"/>
  <c r="U16" i="1"/>
  <c r="U15" i="1"/>
  <c r="U14" i="1"/>
  <c r="U13" i="1"/>
  <c r="U12" i="1"/>
  <c r="U11" i="1"/>
  <c r="U5" i="1"/>
  <c r="U6" i="1"/>
  <c r="U7" i="1"/>
  <c r="U8" i="1"/>
  <c r="U9" i="1"/>
  <c r="U4" i="1"/>
  <c r="O4" i="1"/>
  <c r="O22" i="1"/>
  <c r="O13" i="1"/>
  <c r="O12" i="1"/>
  <c r="O5" i="1"/>
  <c r="J5" i="1"/>
  <c r="J6" i="1"/>
  <c r="J7" i="1"/>
  <c r="J8" i="1"/>
  <c r="J9" i="1"/>
  <c r="J11" i="1"/>
  <c r="J12" i="1"/>
  <c r="J13" i="1"/>
  <c r="J14" i="1"/>
  <c r="J15" i="1"/>
  <c r="J16" i="1"/>
  <c r="J18" i="1"/>
  <c r="J19" i="1"/>
  <c r="J20" i="1"/>
  <c r="J21" i="1"/>
  <c r="J22" i="1"/>
  <c r="J23" i="1"/>
  <c r="J37" i="1"/>
  <c r="J39" i="1"/>
  <c r="O41" i="1"/>
  <c r="J42" i="1"/>
  <c r="J32" i="1"/>
  <c r="O28" i="1"/>
  <c r="J30" i="1"/>
  <c r="O35" i="1"/>
  <c r="O32" i="1"/>
  <c r="J33" i="1"/>
  <c r="J40" i="1"/>
  <c r="J27" i="1"/>
  <c r="O27" i="1"/>
  <c r="O42" i="1"/>
  <c r="O37" i="1"/>
  <c r="J63" i="1"/>
  <c r="O54" i="1"/>
  <c r="O58" i="1"/>
  <c r="J53" i="1"/>
  <c r="O53" i="1"/>
  <c r="G18" i="1" l="1"/>
  <c r="G25" i="1" s="1"/>
  <c r="G32" i="1" s="1"/>
  <c r="G39" i="1" s="1"/>
  <c r="G46" i="1" s="1"/>
  <c r="G53" i="1" s="1"/>
  <c r="G60" i="1" s="1"/>
  <c r="G67" i="1" s="1"/>
  <c r="G74" i="1" s="1"/>
  <c r="G81" i="1" s="1"/>
  <c r="G88" i="1" s="1"/>
  <c r="G95" i="1" s="1"/>
  <c r="G102" i="1" s="1"/>
  <c r="G109" i="1" s="1"/>
  <c r="G116" i="1" s="1"/>
  <c r="G123" i="1" s="1"/>
  <c r="G130" i="1" s="1"/>
  <c r="G137" i="1" s="1"/>
  <c r="G144" i="1" s="1"/>
  <c r="G151" i="1" s="1"/>
  <c r="G158" i="1" s="1"/>
  <c r="G165" i="1" s="1"/>
  <c r="G172" i="1" s="1"/>
  <c r="G179" i="1" s="1"/>
  <c r="G186" i="1" s="1"/>
  <c r="G193" i="1" s="1"/>
  <c r="G200" i="1" s="1"/>
  <c r="G207" i="1" s="1"/>
  <c r="G214" i="1" s="1"/>
  <c r="G221" i="1" s="1"/>
  <c r="G228" i="1" s="1"/>
  <c r="G235" i="1" s="1"/>
  <c r="G242" i="1" s="1"/>
  <c r="G249" i="1" s="1"/>
  <c r="T117" i="1"/>
  <c r="T126" i="1"/>
  <c r="T149" i="1"/>
  <c r="T135" i="1"/>
  <c r="V88" i="1"/>
  <c r="T125" i="1"/>
  <c r="T118" i="1"/>
  <c r="V66" i="1"/>
  <c r="X66" i="1" s="1"/>
  <c r="T127" i="1"/>
  <c r="T111" i="1"/>
  <c r="V102" i="1"/>
  <c r="T124" i="1"/>
  <c r="S167" i="1"/>
  <c r="O146" i="1"/>
  <c r="J146" i="1"/>
  <c r="T119" i="1"/>
  <c r="S177" i="1"/>
  <c r="J156" i="1"/>
  <c r="O156" i="1"/>
  <c r="O165" i="1"/>
  <c r="S186" i="1"/>
  <c r="J165" i="1"/>
  <c r="S180" i="1"/>
  <c r="O159" i="1"/>
  <c r="J159" i="1"/>
  <c r="T148" i="1"/>
  <c r="O170" i="1"/>
  <c r="S191" i="1"/>
  <c r="J170" i="1"/>
  <c r="T134" i="1"/>
  <c r="S152" i="1"/>
  <c r="O131" i="1"/>
  <c r="J131" i="1"/>
  <c r="S175" i="1"/>
  <c r="O154" i="1"/>
  <c r="J154" i="1"/>
  <c r="S190" i="1"/>
  <c r="O169" i="1"/>
  <c r="J169" i="1"/>
  <c r="J151" i="1"/>
  <c r="S172" i="1"/>
  <c r="O151" i="1"/>
  <c r="S176" i="1"/>
  <c r="O155" i="1"/>
  <c r="J155" i="1"/>
  <c r="J139" i="1"/>
  <c r="S160" i="1"/>
  <c r="O139" i="1"/>
  <c r="T121" i="1"/>
  <c r="T110" i="1"/>
  <c r="O158" i="1"/>
  <c r="J158" i="1"/>
  <c r="S179" i="1"/>
  <c r="S163" i="1"/>
  <c r="J142" i="1"/>
  <c r="O142" i="1"/>
  <c r="O140" i="1"/>
  <c r="J140" i="1"/>
  <c r="S161" i="1"/>
  <c r="T120" i="1"/>
  <c r="J147" i="1"/>
  <c r="O147" i="1"/>
  <c r="S168" i="1"/>
  <c r="T144" i="1"/>
  <c r="T109" i="1"/>
  <c r="T138" i="1"/>
  <c r="T132" i="1"/>
  <c r="O141" i="1"/>
  <c r="J141" i="1"/>
  <c r="S162" i="1"/>
  <c r="V95" i="1"/>
  <c r="J153" i="1"/>
  <c r="S174" i="1"/>
  <c r="O153" i="1"/>
  <c r="T112" i="1"/>
  <c r="J145" i="1"/>
  <c r="S166" i="1"/>
  <c r="O145" i="1"/>
  <c r="T133" i="1"/>
  <c r="T130" i="1"/>
  <c r="T4" i="1"/>
  <c r="T14" i="1"/>
  <c r="T19" i="1"/>
  <c r="T12" i="1"/>
  <c r="T28" i="1"/>
  <c r="T6" i="1"/>
  <c r="T11" i="1"/>
  <c r="J60" i="1"/>
  <c r="O34" i="1"/>
  <c r="O43" i="1"/>
  <c r="O29" i="1"/>
  <c r="J34" i="1"/>
  <c r="J29" i="1"/>
  <c r="J55" i="1"/>
  <c r="O39" i="1"/>
  <c r="T39" i="1" s="1"/>
  <c r="T32" i="1"/>
  <c r="J50" i="1"/>
  <c r="T50" i="1" s="1"/>
  <c r="O55" i="1"/>
  <c r="J43" i="1"/>
  <c r="T15" i="1"/>
  <c r="J46" i="1"/>
  <c r="T30" i="1"/>
  <c r="O44" i="1"/>
  <c r="J44" i="1"/>
  <c r="O36" i="1"/>
  <c r="J62" i="1"/>
  <c r="O51" i="1"/>
  <c r="O46" i="1"/>
  <c r="J36" i="1"/>
  <c r="T53" i="1"/>
  <c r="J57" i="1"/>
  <c r="J41" i="1"/>
  <c r="T41" i="1" s="1"/>
  <c r="O61" i="1"/>
  <c r="O48" i="1"/>
  <c r="O62" i="1"/>
  <c r="J48" i="1"/>
  <c r="J65" i="1"/>
  <c r="O57" i="1"/>
  <c r="T23" i="1"/>
  <c r="T16" i="1"/>
  <c r="T13" i="1"/>
  <c r="J64" i="1"/>
  <c r="O56" i="1"/>
  <c r="T9" i="1"/>
  <c r="T8" i="1"/>
  <c r="T20" i="1"/>
  <c r="J56" i="1"/>
  <c r="J47" i="1"/>
  <c r="J51" i="1"/>
  <c r="J26" i="1"/>
  <c r="T21" i="1"/>
  <c r="T7" i="1"/>
  <c r="J49" i="1"/>
  <c r="O47" i="1"/>
  <c r="T35" i="1"/>
  <c r="T37" i="1"/>
  <c r="T5" i="1"/>
  <c r="W39" i="1"/>
  <c r="T42" i="1"/>
  <c r="W4" i="1"/>
  <c r="W11" i="1"/>
  <c r="W18" i="1"/>
  <c r="W25" i="1"/>
  <c r="W32" i="1"/>
  <c r="W46" i="1"/>
  <c r="W53" i="1"/>
  <c r="W60" i="1"/>
  <c r="J58" i="1"/>
  <c r="T58" i="1" s="1"/>
  <c r="O64" i="1"/>
  <c r="O33" i="1"/>
  <c r="T33" i="1" s="1"/>
  <c r="T22" i="1"/>
  <c r="J61" i="1"/>
  <c r="O63" i="1"/>
  <c r="T63" i="1" s="1"/>
  <c r="J54" i="1"/>
  <c r="T54" i="1" s="1"/>
  <c r="O65" i="1"/>
  <c r="O60" i="1"/>
  <c r="O26" i="1"/>
  <c r="T40" i="1"/>
  <c r="T18" i="1"/>
  <c r="T27" i="1"/>
  <c r="V87" i="1" l="1"/>
  <c r="X87" i="1" s="1"/>
  <c r="T159" i="1"/>
  <c r="T154" i="1"/>
  <c r="V123" i="1"/>
  <c r="T146" i="1"/>
  <c r="T147" i="1"/>
  <c r="T142" i="1"/>
  <c r="V116" i="1"/>
  <c r="T153" i="1"/>
  <c r="V109" i="1"/>
  <c r="T170" i="1"/>
  <c r="T140" i="1"/>
  <c r="T158" i="1"/>
  <c r="T145" i="1"/>
  <c r="T141" i="1"/>
  <c r="S197" i="1"/>
  <c r="O176" i="1"/>
  <c r="J176" i="1"/>
  <c r="O152" i="1"/>
  <c r="J152" i="1"/>
  <c r="S173" i="1"/>
  <c r="O163" i="1"/>
  <c r="J163" i="1"/>
  <c r="S184" i="1"/>
  <c r="S187" i="1"/>
  <c r="O166" i="1"/>
  <c r="J166" i="1"/>
  <c r="S200" i="1"/>
  <c r="O179" i="1"/>
  <c r="J179" i="1"/>
  <c r="T156" i="1"/>
  <c r="O186" i="1"/>
  <c r="S207" i="1"/>
  <c r="J186" i="1"/>
  <c r="S195" i="1"/>
  <c r="O174" i="1"/>
  <c r="J174" i="1"/>
  <c r="S211" i="1"/>
  <c r="O190" i="1"/>
  <c r="J190" i="1"/>
  <c r="S182" i="1"/>
  <c r="J161" i="1"/>
  <c r="O161" i="1"/>
  <c r="S181" i="1"/>
  <c r="O160" i="1"/>
  <c r="J160" i="1"/>
  <c r="S193" i="1"/>
  <c r="J172" i="1"/>
  <c r="O172" i="1"/>
  <c r="O162" i="1"/>
  <c r="S183" i="1"/>
  <c r="J162" i="1"/>
  <c r="T139" i="1"/>
  <c r="T151" i="1"/>
  <c r="S196" i="1"/>
  <c r="O175" i="1"/>
  <c r="J175" i="1"/>
  <c r="S212" i="1"/>
  <c r="O191" i="1"/>
  <c r="J191" i="1"/>
  <c r="S201" i="1"/>
  <c r="O180" i="1"/>
  <c r="J180" i="1"/>
  <c r="O177" i="1"/>
  <c r="J177" i="1"/>
  <c r="S198" i="1"/>
  <c r="S188" i="1"/>
  <c r="O167" i="1"/>
  <c r="J167" i="1"/>
  <c r="O168" i="1"/>
  <c r="J168" i="1"/>
  <c r="S189" i="1"/>
  <c r="T155" i="1"/>
  <c r="T169" i="1"/>
  <c r="T131" i="1"/>
  <c r="V130" i="1" s="1"/>
  <c r="T165" i="1"/>
  <c r="V11" i="1"/>
  <c r="T43" i="1"/>
  <c r="T48" i="1"/>
  <c r="T29" i="1"/>
  <c r="T34" i="1"/>
  <c r="T44" i="1"/>
  <c r="T60" i="1"/>
  <c r="T62" i="1"/>
  <c r="T36" i="1"/>
  <c r="T64" i="1"/>
  <c r="T61" i="1"/>
  <c r="T55" i="1"/>
  <c r="V4" i="1"/>
  <c r="T56" i="1"/>
  <c r="W3" i="1"/>
  <c r="AB4" i="1" s="1"/>
  <c r="T47" i="1"/>
  <c r="T57" i="1"/>
  <c r="AB10" i="1"/>
  <c r="T65" i="1"/>
  <c r="T51" i="1"/>
  <c r="T49" i="1"/>
  <c r="T26" i="1"/>
  <c r="T46" i="1"/>
  <c r="AB15" i="1"/>
  <c r="AB12" i="1"/>
  <c r="AB13" i="1"/>
  <c r="V18" i="1"/>
  <c r="W24" i="1"/>
  <c r="AB5" i="1" s="1"/>
  <c r="AB11" i="1"/>
  <c r="AB8" i="1"/>
  <c r="W45" i="1"/>
  <c r="AB6" i="1" s="1"/>
  <c r="AB7" i="1"/>
  <c r="AB9" i="1"/>
  <c r="AB14" i="1"/>
  <c r="T160" i="1" l="1"/>
  <c r="T190" i="1"/>
  <c r="T191" i="1"/>
  <c r="T162" i="1"/>
  <c r="T186" i="1"/>
  <c r="T167" i="1"/>
  <c r="T180" i="1"/>
  <c r="T175" i="1"/>
  <c r="T166" i="1"/>
  <c r="T161" i="1"/>
  <c r="V144" i="1"/>
  <c r="T172" i="1"/>
  <c r="T174" i="1"/>
  <c r="T152" i="1"/>
  <c r="V151" i="1" s="1"/>
  <c r="V108" i="1"/>
  <c r="X108" i="1" s="1"/>
  <c r="T179" i="1"/>
  <c r="T176" i="1"/>
  <c r="V137" i="1"/>
  <c r="O187" i="1"/>
  <c r="S208" i="1"/>
  <c r="J187" i="1"/>
  <c r="S204" i="1"/>
  <c r="O183" i="1"/>
  <c r="J183" i="1"/>
  <c r="S202" i="1"/>
  <c r="O181" i="1"/>
  <c r="J181" i="1"/>
  <c r="O207" i="1"/>
  <c r="J207" i="1"/>
  <c r="S228" i="1"/>
  <c r="S205" i="1"/>
  <c r="J184" i="1"/>
  <c r="O184" i="1"/>
  <c r="O188" i="1"/>
  <c r="S209" i="1"/>
  <c r="J188" i="1"/>
  <c r="O201" i="1"/>
  <c r="J201" i="1"/>
  <c r="S222" i="1"/>
  <c r="S217" i="1"/>
  <c r="J196" i="1"/>
  <c r="O196" i="1"/>
  <c r="S232" i="1"/>
  <c r="O211" i="1"/>
  <c r="J211" i="1"/>
  <c r="S221" i="1"/>
  <c r="J200" i="1"/>
  <c r="T200" i="1" s="1"/>
  <c r="T163" i="1"/>
  <c r="O212" i="1"/>
  <c r="J212" i="1"/>
  <c r="S233" i="1"/>
  <c r="O195" i="1"/>
  <c r="J195" i="1"/>
  <c r="S216" i="1"/>
  <c r="S210" i="1"/>
  <c r="O189" i="1"/>
  <c r="J189" i="1"/>
  <c r="J198" i="1"/>
  <c r="O198" i="1"/>
  <c r="S219" i="1"/>
  <c r="J197" i="1"/>
  <c r="S218" i="1"/>
  <c r="O197" i="1"/>
  <c r="T168" i="1"/>
  <c r="T177" i="1"/>
  <c r="O193" i="1"/>
  <c r="J193" i="1"/>
  <c r="S214" i="1"/>
  <c r="S203" i="1"/>
  <c r="J182" i="1"/>
  <c r="O182" i="1"/>
  <c r="S194" i="1"/>
  <c r="J173" i="1"/>
  <c r="O173" i="1"/>
  <c r="V25" i="1"/>
  <c r="V32" i="1"/>
  <c r="V39" i="1"/>
  <c r="V60" i="1"/>
  <c r="V53" i="1"/>
  <c r="V3" i="1"/>
  <c r="X3" i="1" s="1"/>
  <c r="AC4" i="1" s="1"/>
  <c r="V46" i="1"/>
  <c r="AB16" i="1"/>
  <c r="V158" i="1" l="1"/>
  <c r="T183" i="1"/>
  <c r="V129" i="1"/>
  <c r="X129" i="1" s="1"/>
  <c r="T193" i="1"/>
  <c r="V165" i="1"/>
  <c r="V150" i="1" s="1"/>
  <c r="X150" i="1" s="1"/>
  <c r="T189" i="1"/>
  <c r="T181" i="1"/>
  <c r="T212" i="1"/>
  <c r="T201" i="1"/>
  <c r="T188" i="1"/>
  <c r="T195" i="1"/>
  <c r="J216" i="1"/>
  <c r="O216" i="1"/>
  <c r="S237" i="1"/>
  <c r="S249" i="1"/>
  <c r="O228" i="1"/>
  <c r="J228" i="1"/>
  <c r="S229" i="1"/>
  <c r="O208" i="1"/>
  <c r="J208" i="1"/>
  <c r="T182" i="1"/>
  <c r="T196" i="1"/>
  <c r="S230" i="1"/>
  <c r="O209" i="1"/>
  <c r="J209" i="1"/>
  <c r="S224" i="1"/>
  <c r="O203" i="1"/>
  <c r="J203" i="1"/>
  <c r="T198" i="1"/>
  <c r="S242" i="1"/>
  <c r="J221" i="1"/>
  <c r="O221" i="1"/>
  <c r="O217" i="1"/>
  <c r="S238" i="1"/>
  <c r="J217" i="1"/>
  <c r="T207" i="1"/>
  <c r="S239" i="1"/>
  <c r="J218" i="1"/>
  <c r="O218" i="1"/>
  <c r="O233" i="1"/>
  <c r="S254" i="1"/>
  <c r="J233" i="1"/>
  <c r="O222" i="1"/>
  <c r="S243" i="1"/>
  <c r="J222" i="1"/>
  <c r="S225" i="1"/>
  <c r="J204" i="1"/>
  <c r="O204" i="1"/>
  <c r="O219" i="1"/>
  <c r="J219" i="1"/>
  <c r="S240" i="1"/>
  <c r="S235" i="1"/>
  <c r="J214" i="1"/>
  <c r="O214" i="1"/>
  <c r="T173" i="1"/>
  <c r="V172" i="1" s="1"/>
  <c r="T197" i="1"/>
  <c r="T211" i="1"/>
  <c r="T184" i="1"/>
  <c r="S215" i="1"/>
  <c r="O194" i="1"/>
  <c r="J194" i="1"/>
  <c r="O210" i="1"/>
  <c r="J210" i="1"/>
  <c r="S231" i="1"/>
  <c r="S253" i="1"/>
  <c r="O232" i="1"/>
  <c r="J232" i="1"/>
  <c r="O205" i="1"/>
  <c r="J205" i="1"/>
  <c r="S226" i="1"/>
  <c r="S223" i="1"/>
  <c r="O202" i="1"/>
  <c r="J202" i="1"/>
  <c r="T187" i="1"/>
  <c r="V24" i="1"/>
  <c r="X24" i="1" s="1"/>
  <c r="AC5" i="1" s="1"/>
  <c r="V45" i="1"/>
  <c r="AA6" i="1" s="1"/>
  <c r="AA4" i="1"/>
  <c r="AC7" i="1"/>
  <c r="T228" i="1" l="1"/>
  <c r="T219" i="1"/>
  <c r="V186" i="1"/>
  <c r="T217" i="1"/>
  <c r="T218" i="1"/>
  <c r="T202" i="1"/>
  <c r="T232" i="1"/>
  <c r="T194" i="1"/>
  <c r="V193" i="1" s="1"/>
  <c r="T209" i="1"/>
  <c r="T203" i="1"/>
  <c r="T205" i="1"/>
  <c r="T210" i="1"/>
  <c r="V179" i="1"/>
  <c r="O243" i="1"/>
  <c r="J243" i="1"/>
  <c r="J224" i="1"/>
  <c r="S245" i="1"/>
  <c r="O224" i="1"/>
  <c r="O249" i="1"/>
  <c r="J249" i="1"/>
  <c r="J239" i="1"/>
  <c r="O239" i="1"/>
  <c r="T221" i="1"/>
  <c r="O237" i="1"/>
  <c r="J237" i="1"/>
  <c r="O223" i="1"/>
  <c r="J223" i="1"/>
  <c r="S244" i="1"/>
  <c r="O253" i="1"/>
  <c r="J253" i="1"/>
  <c r="O215" i="1"/>
  <c r="S236" i="1"/>
  <c r="J215" i="1"/>
  <c r="T233" i="1"/>
  <c r="J242" i="1"/>
  <c r="O242" i="1"/>
  <c r="T208" i="1"/>
  <c r="S247" i="1"/>
  <c r="J226" i="1"/>
  <c r="O226" i="1"/>
  <c r="J231" i="1"/>
  <c r="O231" i="1"/>
  <c r="S252" i="1"/>
  <c r="T214" i="1"/>
  <c r="T204" i="1"/>
  <c r="O254" i="1"/>
  <c r="J254" i="1"/>
  <c r="O230" i="1"/>
  <c r="S251" i="1"/>
  <c r="J230" i="1"/>
  <c r="J229" i="1"/>
  <c r="S250" i="1"/>
  <c r="O229" i="1"/>
  <c r="T216" i="1"/>
  <c r="O235" i="1"/>
  <c r="J235" i="1"/>
  <c r="O225" i="1"/>
  <c r="J225" i="1"/>
  <c r="S246" i="1"/>
  <c r="J238" i="1"/>
  <c r="O238" i="1"/>
  <c r="O240" i="1"/>
  <c r="J240" i="1"/>
  <c r="T222" i="1"/>
  <c r="AA5" i="1"/>
  <c r="X45" i="1"/>
  <c r="AC6" i="1" s="1"/>
  <c r="AA7" i="1"/>
  <c r="AA8" i="1"/>
  <c r="T237" i="1" l="1"/>
  <c r="V171" i="1"/>
  <c r="X171" i="1" s="1"/>
  <c r="V207" i="1"/>
  <c r="T225" i="1"/>
  <c r="T238" i="1"/>
  <c r="T240" i="1"/>
  <c r="T229" i="1"/>
  <c r="V200" i="1"/>
  <c r="T224" i="1"/>
  <c r="T235" i="1"/>
  <c r="T230" i="1"/>
  <c r="T215" i="1"/>
  <c r="V214" i="1" s="1"/>
  <c r="T223" i="1"/>
  <c r="T243" i="1"/>
  <c r="J245" i="1"/>
  <c r="O245" i="1"/>
  <c r="O244" i="1"/>
  <c r="J244" i="1"/>
  <c r="T239" i="1"/>
  <c r="O251" i="1"/>
  <c r="J251" i="1"/>
  <c r="O252" i="1"/>
  <c r="J252" i="1"/>
  <c r="J236" i="1"/>
  <c r="O236" i="1"/>
  <c r="T249" i="1"/>
  <c r="J250" i="1"/>
  <c r="O250" i="1"/>
  <c r="T226" i="1"/>
  <c r="J247" i="1"/>
  <c r="O247" i="1"/>
  <c r="O246" i="1"/>
  <c r="J246" i="1"/>
  <c r="T254" i="1"/>
  <c r="T231" i="1"/>
  <c r="T242" i="1"/>
  <c r="T253" i="1"/>
  <c r="AA9" i="1"/>
  <c r="AC8" i="1"/>
  <c r="V192" i="1" l="1"/>
  <c r="X192" i="1" s="1"/>
  <c r="T244" i="1"/>
  <c r="V228" i="1"/>
  <c r="V221" i="1"/>
  <c r="V213" i="1" s="1"/>
  <c r="X213" i="1" s="1"/>
  <c r="T246" i="1"/>
  <c r="T250" i="1"/>
  <c r="T251" i="1"/>
  <c r="T247" i="1"/>
  <c r="T236" i="1"/>
  <c r="V235" i="1" s="1"/>
  <c r="T252" i="1"/>
  <c r="T245" i="1"/>
  <c r="AC9" i="1"/>
  <c r="AC10" i="1"/>
  <c r="V249" i="1" l="1"/>
  <c r="V242" i="1"/>
  <c r="AA10" i="1"/>
  <c r="AC11" i="1"/>
  <c r="V234" i="1" l="1"/>
  <c r="X234" i="1" s="1"/>
  <c r="AA11" i="1"/>
  <c r="AA17" i="1"/>
  <c r="AC12" i="1"/>
  <c r="AA12" i="1"/>
  <c r="AC13" i="1" l="1"/>
  <c r="AE13" i="1" s="1"/>
  <c r="AA13" i="1" l="1"/>
  <c r="AC14" i="1"/>
  <c r="AE14" i="1" s="1"/>
  <c r="AA14" i="1"/>
  <c r="AD14" i="1" s="1"/>
  <c r="AD13" i="1" l="1"/>
  <c r="AA15" i="1"/>
  <c r="AA16" i="1" s="1"/>
  <c r="AC15" i="1"/>
  <c r="AE15" i="1" l="1"/>
  <c r="AE16" i="1" s="1"/>
  <c r="AC16" i="1"/>
  <c r="AD15" i="1"/>
  <c r="AD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Bim Jim</author>
  </authors>
  <commentList>
    <comment ref="S1" authorId="0" shapeId="0" xr:uid="{CCB5E0DE-C792-4FA9-B599-2D4631399842}">
      <text>
        <r>
          <rPr>
            <b/>
            <sz val="9"/>
            <color indexed="81"/>
            <rFont val="Tahoma"/>
            <family val="2"/>
          </rPr>
          <t xml:space="preserve">
Maximal 1Rep</t>
        </r>
      </text>
    </comment>
    <comment ref="T1" authorId="0" shapeId="0" xr:uid="{83904AB7-831B-4224-BFF6-35DC6A50B950}">
      <text>
        <r>
          <rPr>
            <b/>
            <sz val="9"/>
            <color indexed="81"/>
            <rFont val="Tahoma"/>
            <family val="2"/>
          </rPr>
          <t xml:space="preserve">
Bewegte Gewicht pro Übung</t>
        </r>
      </text>
    </comment>
    <comment ref="V3" authorId="0" shapeId="0" xr:uid="{4C97CB80-6AF7-451A-9DB2-5C977ED9FC76}">
      <text>
        <r>
          <rPr>
            <b/>
            <sz val="9"/>
            <color indexed="81"/>
            <rFont val="Tahoma"/>
            <family val="2"/>
          </rPr>
          <t xml:space="preserve"> 
bewegte gewicht pro Woche</t>
        </r>
      </text>
    </comment>
    <comment ref="W3" authorId="0" shapeId="0" xr:uid="{218D3A8C-FC20-4F93-A67A-0C9B9E3FECEC}">
      <text>
        <r>
          <rPr>
            <sz val="9"/>
            <color indexed="81"/>
            <rFont val="Tahoma"/>
            <family val="2"/>
          </rPr>
          <t xml:space="preserve">
wiederholungen pro woche</t>
        </r>
      </text>
    </comment>
    <comment ref="V4" authorId="0" shapeId="0" xr:uid="{D645C762-389C-4F0D-9EB7-431B98940703}">
      <text>
        <r>
          <rPr>
            <b/>
            <sz val="9"/>
            <color indexed="81"/>
            <rFont val="Tahoma"/>
            <family val="2"/>
          </rPr>
          <t xml:space="preserve">
Bewegte Gewicht pro Tag</t>
        </r>
      </text>
    </comment>
    <comment ref="W4" authorId="0" shapeId="0" xr:uid="{B7DBA088-76A9-480B-826A-22EDE845851F}">
      <text>
        <r>
          <rPr>
            <sz val="9"/>
            <color indexed="81"/>
            <rFont val="Tahoma"/>
            <family val="2"/>
          </rPr>
          <t xml:space="preserve">Wiederholungen pro Tag
</t>
        </r>
      </text>
    </comment>
    <comment ref="AA16" authorId="0" shapeId="0" xr:uid="{AAC8DDED-8CB5-487D-871C-534DA3C7E577}">
      <text>
        <r>
          <rPr>
            <b/>
            <sz val="9"/>
            <color indexed="81"/>
            <rFont val="Tahoma"/>
            <family val="2"/>
          </rPr>
          <t xml:space="preserve">
Gesamtgewicht von 12 Wochen</t>
        </r>
      </text>
    </comment>
    <comment ref="AD16" authorId="0" shapeId="0" xr:uid="{DB4BD528-733A-4DFD-95E7-E6C5CD928600}">
      <text>
        <r>
          <rPr>
            <b/>
            <sz val="9"/>
            <color indexed="81"/>
            <rFont val="Tahoma"/>
            <family val="2"/>
          </rPr>
          <t>zuwachs seit dem ersten Mikrozyklus</t>
        </r>
      </text>
    </comment>
    <comment ref="AE16" authorId="0" shapeId="0" xr:uid="{1F259073-EFE6-4C55-B2E6-171B8DC0670B}">
      <text>
        <r>
          <rPr>
            <b/>
            <sz val="9"/>
            <color indexed="81"/>
            <rFont val="Tahoma"/>
            <family val="2"/>
          </rPr>
          <t xml:space="preserve">
Steigerung von mittlerem Gewicht </t>
        </r>
      </text>
    </comment>
    <comment ref="V66" authorId="0" shapeId="0" xr:uid="{D4C40525-4AB7-44A0-A9C3-AA53813BCA29}">
      <text>
        <r>
          <rPr>
            <b/>
            <sz val="9"/>
            <color indexed="81"/>
            <rFont val="Tahoma"/>
            <family val="2"/>
          </rPr>
          <t xml:space="preserve"> 
bewegte gewicht pro Woche</t>
        </r>
      </text>
    </comment>
    <comment ref="W66" authorId="0" shapeId="0" xr:uid="{0A929D0C-D565-49E9-A1DB-0B47BD485BB0}">
      <text>
        <r>
          <rPr>
            <sz val="9"/>
            <color indexed="81"/>
            <rFont val="Tahoma"/>
            <family val="2"/>
          </rPr>
          <t xml:space="preserve">
wiederholungen pro woche</t>
        </r>
      </text>
    </comment>
    <comment ref="X66" authorId="0" shapeId="0" xr:uid="{D500D4D6-B149-4783-A04A-A3C3C150A842}">
      <text>
        <r>
          <rPr>
            <b/>
            <sz val="9"/>
            <color indexed="81"/>
            <rFont val="Tahoma"/>
            <family val="2"/>
          </rPr>
          <t xml:space="preserve">
mittlere Gewicht pro Woche</t>
        </r>
      </text>
    </comment>
    <comment ref="V67" authorId="0" shapeId="0" xr:uid="{602E7429-631D-455B-970A-BDF0C323F936}">
      <text>
        <r>
          <rPr>
            <b/>
            <sz val="9"/>
            <color indexed="81"/>
            <rFont val="Tahoma"/>
            <family val="2"/>
          </rPr>
          <t xml:space="preserve">
Bewegte Gewicht pro Tag</t>
        </r>
      </text>
    </comment>
    <comment ref="W67" authorId="0" shapeId="0" xr:uid="{15A930E6-2A31-4AAD-8CAB-DBBF8E318C83}">
      <text>
        <r>
          <rPr>
            <sz val="9"/>
            <color indexed="81"/>
            <rFont val="Tahoma"/>
            <family val="2"/>
          </rPr>
          <t xml:space="preserve">Wiederholungen pro Tag
</t>
        </r>
      </text>
    </comment>
    <comment ref="V129" authorId="0" shapeId="0" xr:uid="{516F5140-0892-4E3A-A864-31942AF9D35C}">
      <text>
        <r>
          <rPr>
            <b/>
            <sz val="9"/>
            <color indexed="81"/>
            <rFont val="Tahoma"/>
            <family val="2"/>
          </rPr>
          <t xml:space="preserve"> 
bewegte gewicht pro Woche</t>
        </r>
      </text>
    </comment>
    <comment ref="W129" authorId="0" shapeId="0" xr:uid="{C81C0C2A-EB8D-49E7-A998-8B49EFD44CA6}">
      <text>
        <r>
          <rPr>
            <sz val="9"/>
            <color indexed="81"/>
            <rFont val="Tahoma"/>
            <family val="2"/>
          </rPr>
          <t xml:space="preserve">
wiederholungen pro woche</t>
        </r>
      </text>
    </comment>
    <comment ref="X129" authorId="0" shapeId="0" xr:uid="{2C99CE08-D964-4BCA-9F27-BA9FA4ED0B98}">
      <text>
        <r>
          <rPr>
            <b/>
            <sz val="9"/>
            <color indexed="81"/>
            <rFont val="Tahoma"/>
            <family val="2"/>
          </rPr>
          <t xml:space="preserve">
mittlere Gewicht pro Woche</t>
        </r>
      </text>
    </comment>
    <comment ref="V130" authorId="0" shapeId="0" xr:uid="{A049E10E-1C79-47AF-9522-121E29915E95}">
      <text>
        <r>
          <rPr>
            <b/>
            <sz val="9"/>
            <color indexed="81"/>
            <rFont val="Tahoma"/>
            <family val="2"/>
          </rPr>
          <t xml:space="preserve">
Bewegte Gewicht pro Tag</t>
        </r>
      </text>
    </comment>
    <comment ref="W130" authorId="0" shapeId="0" xr:uid="{2F1CF008-856E-491D-9033-0112E6247D87}">
      <text>
        <r>
          <rPr>
            <sz val="9"/>
            <color indexed="81"/>
            <rFont val="Tahoma"/>
            <family val="2"/>
          </rPr>
          <t xml:space="preserve">Wiederholungen pro Tag
</t>
        </r>
      </text>
    </comment>
    <comment ref="V192" authorId="0" shapeId="0" xr:uid="{70F00E1C-5C48-4C04-BF00-ACE9EF17FADD}">
      <text>
        <r>
          <rPr>
            <b/>
            <sz val="9"/>
            <color indexed="81"/>
            <rFont val="Tahoma"/>
            <family val="2"/>
          </rPr>
          <t xml:space="preserve"> 
bewegte gewicht pro Woche</t>
        </r>
      </text>
    </comment>
    <comment ref="W192" authorId="0" shapeId="0" xr:uid="{2E10FDFC-94C3-46DD-BB88-EA679865ACCF}">
      <text>
        <r>
          <rPr>
            <sz val="9"/>
            <color indexed="81"/>
            <rFont val="Tahoma"/>
            <family val="2"/>
          </rPr>
          <t xml:space="preserve">
wiederholungen pro woche</t>
        </r>
      </text>
    </comment>
    <comment ref="X192" authorId="0" shapeId="0" xr:uid="{E01660AC-3315-4D02-A7B6-5491D5D88B8C}">
      <text>
        <r>
          <rPr>
            <b/>
            <sz val="9"/>
            <color indexed="81"/>
            <rFont val="Tahoma"/>
            <family val="2"/>
          </rPr>
          <t xml:space="preserve">
mittlere Gewicht pro Woche</t>
        </r>
      </text>
    </comment>
    <comment ref="V193" authorId="0" shapeId="0" xr:uid="{B14C7999-522F-42E6-B916-7B8002B2348A}">
      <text>
        <r>
          <rPr>
            <b/>
            <sz val="9"/>
            <color indexed="81"/>
            <rFont val="Tahoma"/>
            <family val="2"/>
          </rPr>
          <t xml:space="preserve">
Bewegte Gewicht pro Tag</t>
        </r>
      </text>
    </comment>
    <comment ref="W193" authorId="0" shapeId="0" xr:uid="{FCAE0780-9683-4231-B134-7BCC826AAEF8}">
      <text>
        <r>
          <rPr>
            <sz val="9"/>
            <color indexed="81"/>
            <rFont val="Tahoma"/>
            <family val="2"/>
          </rPr>
          <t xml:space="preserve">Wiederholungen pro Tag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Bim Jim</author>
  </authors>
  <commentList>
    <comment ref="Q7" authorId="0" shapeId="0" xr:uid="{53FE20C5-A03C-4D54-9502-9D227C89372D}">
      <text>
        <r>
          <rPr>
            <b/>
            <sz val="9"/>
            <color indexed="81"/>
            <rFont val="Tahoma"/>
            <family val="2"/>
          </rPr>
          <t xml:space="preserve">
Maximal 1Rep</t>
        </r>
      </text>
    </comment>
    <comment ref="R7" authorId="0" shapeId="0" xr:uid="{45892843-096B-494C-B340-85F4B4FA3C13}">
      <text>
        <r>
          <rPr>
            <b/>
            <sz val="9"/>
            <color indexed="81"/>
            <rFont val="Tahoma"/>
            <family val="2"/>
          </rPr>
          <t xml:space="preserve">
Bewegte Gewicht pro Übung</t>
        </r>
      </text>
    </comment>
    <comment ref="D23" authorId="0" shapeId="0" xr:uid="{2C32AD0C-1EB7-4FCC-8348-247B175A81C6}">
      <text>
        <r>
          <rPr>
            <b/>
            <sz val="9"/>
            <color indexed="81"/>
            <rFont val="Tahoma"/>
            <family val="2"/>
          </rPr>
          <t xml:space="preserve">
Gesamtgewicht von 12 Wochen</t>
        </r>
      </text>
    </comment>
    <comment ref="G23" authorId="0" shapeId="0" xr:uid="{3FCF3085-C251-48CB-8E3A-0E6A4A02920E}">
      <text>
        <r>
          <rPr>
            <b/>
            <sz val="9"/>
            <color indexed="81"/>
            <rFont val="Tahoma"/>
            <family val="2"/>
          </rPr>
          <t>zuwachs seit dem ersten Mikrozyklus</t>
        </r>
      </text>
    </comment>
    <comment ref="H23" authorId="0" shapeId="0" xr:uid="{D0D20F68-E0D2-449E-800C-93EDEA624B18}">
      <text>
        <r>
          <rPr>
            <b/>
            <sz val="9"/>
            <color indexed="81"/>
            <rFont val="Tahoma"/>
            <family val="2"/>
          </rPr>
          <t xml:space="preserve">
Steigerung von mittlerem Gewicht </t>
        </r>
      </text>
    </comment>
  </commentList>
</comments>
</file>

<file path=xl/sharedStrings.xml><?xml version="1.0" encoding="utf-8"?>
<sst xmlns="http://schemas.openxmlformats.org/spreadsheetml/2006/main" count="605" uniqueCount="76">
  <si>
    <t>kg</t>
  </si>
  <si>
    <t>wdh</t>
  </si>
  <si>
    <t>max</t>
  </si>
  <si>
    <t>Übung</t>
  </si>
  <si>
    <t>Tonnage</t>
  </si>
  <si>
    <t>WDH</t>
  </si>
  <si>
    <t>%</t>
  </si>
  <si>
    <t>Woche 1</t>
  </si>
  <si>
    <t>Woche 2</t>
  </si>
  <si>
    <t>Woche 3</t>
  </si>
  <si>
    <t>Sätze</t>
  </si>
  <si>
    <t>Tonnage +</t>
  </si>
  <si>
    <t>int +</t>
  </si>
  <si>
    <t>leicht</t>
  </si>
  <si>
    <t>mittel</t>
  </si>
  <si>
    <t>schwer</t>
  </si>
  <si>
    <t xml:space="preserve"> Int</t>
  </si>
  <si>
    <t>Столбец8</t>
  </si>
  <si>
    <t>Столбец13</t>
  </si>
  <si>
    <t>Datum</t>
  </si>
  <si>
    <t>.</t>
  </si>
  <si>
    <t>int</t>
  </si>
  <si>
    <t>Woche</t>
  </si>
  <si>
    <t xml:space="preserve">Gesamt </t>
  </si>
  <si>
    <t>mttl.G</t>
  </si>
  <si>
    <t>Ges.Tonnage</t>
  </si>
  <si>
    <t>Ges.wdh</t>
  </si>
  <si>
    <t>mttl.G+</t>
  </si>
  <si>
    <t>.2</t>
  </si>
  <si>
    <t>.3</t>
  </si>
  <si>
    <t>.4</t>
  </si>
  <si>
    <t>.5</t>
  </si>
  <si>
    <t>.6</t>
  </si>
  <si>
    <t>.7</t>
  </si>
  <si>
    <t>.8</t>
  </si>
  <si>
    <t>.9</t>
  </si>
  <si>
    <t>.10</t>
  </si>
  <si>
    <t>.11</t>
  </si>
  <si>
    <t>1 Rep +</t>
  </si>
  <si>
    <t>Normal</t>
  </si>
  <si>
    <t>Kniebeuge</t>
  </si>
  <si>
    <t>Bankdrücken</t>
  </si>
  <si>
    <t>Schrägbankdrücken</t>
  </si>
  <si>
    <t>Rudern block</t>
  </si>
  <si>
    <t>Trizeps block</t>
  </si>
  <si>
    <t>Bizeps Curlstange</t>
  </si>
  <si>
    <t>Kreuzheben</t>
  </si>
  <si>
    <t>Latziehen</t>
  </si>
  <si>
    <t>Bankdrücken Rack</t>
  </si>
  <si>
    <t>Schrägbankdrücken(H)</t>
  </si>
  <si>
    <t>Schulter vor</t>
  </si>
  <si>
    <t>Front Kniebeuge</t>
  </si>
  <si>
    <t>Bankdrücken (Pause 3s.)</t>
  </si>
  <si>
    <t>Brust fliegende</t>
  </si>
  <si>
    <t>Bizeps Hammer Hanteln</t>
  </si>
  <si>
    <t xml:space="preserve">Trizeps French </t>
  </si>
  <si>
    <t>Butterfly reverse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</si>
  <si>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</si>
  <si>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</si>
  <si>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</si>
  <si>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</si>
  <si>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</si>
  <si>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</si>
  <si>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</si>
  <si>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</si>
  <si>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</si>
  <si>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1RM +</t>
  </si>
  <si>
    <t>Volumen</t>
  </si>
  <si>
    <t>Volume</t>
  </si>
  <si>
    <t xml:space="preserve"> </t>
  </si>
  <si>
    <t>Column1</t>
  </si>
  <si>
    <t>Column2</t>
  </si>
  <si>
    <t>Ges.Volume</t>
  </si>
  <si>
    <t xml:space="preserve">         %+</t>
  </si>
  <si>
    <t>1RM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</si>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</sst>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\ _€_-;\-* #,##0.00\ _€_-;_-* &quot;-&quot;??\ _€_-;_-@_-"/>
    <numFmt numFmtId="164" formatCode="[$-F400]h:mm:ss\ AM/PM"/>
    <numFmt numFmtId="165" formatCode="0.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b/>
      <sz val="9"/>
      <color theme="1" tint="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color theme="5" tint="-0.499984740745262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462D"/>
        <bgColor indexed="64"/>
      </patternFill>
    </fill>
    <fill>
      <patternFill patternType="solid">
        <fgColor rgb="FF4C743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00000"/>
        <bgColor indexed="64"/>
      </patternFill>
    </fill>
  </fills>
  <borders count="2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/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2" borderId="1" applyNumberFormat="0" applyAlignment="0" applyProtection="0"/>
  </cellStyleXfs>
  <cellXfs count="200">
    <xf numFmtId="0" fontId="0" fillId="0" borderId="0" xfId="0"/>
    <xf numFmtId="164" fontId="6" fillId="3" borderId="0" xfId="0" applyNumberFormat="1" applyFont="1" applyFill="1" applyAlignment="1" applyProtection="1">
      <alignment horizontal="center"/>
    </xf>
    <xf numFmtId="0" fontId="6" fillId="3" borderId="0" xfId="0" applyFont="1" applyFill="1" applyAlignment="1" applyProtection="1">
      <alignment horizontal="center"/>
    </xf>
    <xf numFmtId="9" fontId="6" fillId="3" borderId="0" xfId="2" applyNumberFormat="1" applyFont="1" applyFill="1" applyAlignment="1" applyProtection="1">
      <alignment horizontal="center"/>
    </xf>
    <xf numFmtId="0" fontId="6" fillId="3" borderId="0" xfId="0" applyFont="1" applyFill="1" applyAlignment="1" applyProtection="1"/>
    <xf numFmtId="0" fontId="6" fillId="8" borderId="0" xfId="0" applyFont="1" applyFill="1" applyAlignment="1" applyProtection="1">
      <alignment horizontal="right"/>
    </xf>
    <xf numFmtId="0" fontId="6" fillId="4" borderId="0" xfId="0" applyFont="1" applyFill="1" applyAlignment="1" applyProtection="1">
      <alignment horizontal="center"/>
    </xf>
    <xf numFmtId="0" fontId="6" fillId="4" borderId="0" xfId="0" applyFont="1" applyFill="1" applyAlignment="1" applyProtection="1">
      <alignment horizontal="center" wrapText="1"/>
    </xf>
    <xf numFmtId="0" fontId="0" fillId="0" borderId="0" xfId="0" applyProtection="1"/>
    <xf numFmtId="1" fontId="0" fillId="9" borderId="11" xfId="0" applyNumberFormat="1" applyFill="1" applyBorder="1" applyProtection="1"/>
    <xf numFmtId="1" fontId="0" fillId="9" borderId="12" xfId="0" applyNumberFormat="1" applyFill="1" applyBorder="1" applyProtection="1"/>
    <xf numFmtId="1" fontId="0" fillId="10" borderId="0" xfId="0" applyNumberFormat="1" applyFill="1" applyBorder="1" applyProtection="1"/>
    <xf numFmtId="1" fontId="0" fillId="10" borderId="14" xfId="0" applyNumberFormat="1" applyFill="1" applyBorder="1" applyProtection="1"/>
    <xf numFmtId="1" fontId="8" fillId="6" borderId="1" xfId="3" applyNumberFormat="1" applyFont="1" applyFill="1" applyAlignment="1" applyProtection="1">
      <alignment horizontal="left" vertical="center"/>
    </xf>
    <xf numFmtId="9" fontId="8" fillId="6" borderId="18" xfId="2" applyFont="1" applyFill="1" applyBorder="1" applyProtection="1"/>
    <xf numFmtId="1" fontId="8" fillId="6" borderId="1" xfId="3" applyNumberFormat="1" applyFont="1" applyFill="1" applyProtection="1"/>
    <xf numFmtId="1" fontId="8" fillId="3" borderId="1" xfId="3" applyNumberFormat="1" applyFont="1" applyFill="1" applyProtection="1"/>
    <xf numFmtId="9" fontId="8" fillId="6" borderId="1" xfId="2" applyFont="1" applyFill="1" applyBorder="1" applyProtection="1"/>
    <xf numFmtId="1" fontId="9" fillId="6" borderId="1" xfId="3" applyNumberFormat="1" applyFont="1" applyFill="1" applyProtection="1"/>
    <xf numFmtId="165" fontId="9" fillId="6" borderId="1" xfId="3" applyNumberFormat="1" applyFont="1" applyFill="1" applyProtection="1"/>
    <xf numFmtId="1" fontId="0" fillId="8" borderId="9" xfId="0" applyNumberFormat="1" applyFill="1" applyBorder="1" applyProtection="1"/>
    <xf numFmtId="1" fontId="0" fillId="8" borderId="16" xfId="0" applyNumberFormat="1" applyFill="1" applyBorder="1" applyProtection="1"/>
    <xf numFmtId="14" fontId="12" fillId="6" borderId="7" xfId="3" applyNumberFormat="1" applyFont="1" applyFill="1" applyBorder="1" applyAlignment="1" applyProtection="1">
      <alignment horizontal="left" vertical="center" textRotation="90" wrapText="1"/>
    </xf>
    <xf numFmtId="9" fontId="8" fillId="6" borderId="18" xfId="2" applyNumberFormat="1" applyFont="1" applyFill="1" applyBorder="1" applyProtection="1"/>
    <xf numFmtId="165" fontId="8" fillId="6" borderId="1" xfId="3" applyNumberFormat="1" applyFont="1" applyFill="1" applyAlignment="1" applyProtection="1"/>
    <xf numFmtId="1" fontId="8" fillId="6" borderId="7" xfId="3" applyNumberFormat="1" applyFont="1" applyFill="1" applyBorder="1" applyAlignment="1" applyProtection="1">
      <alignment horizontal="center" vertical="center"/>
    </xf>
    <xf numFmtId="1" fontId="5" fillId="6" borderId="7" xfId="3" applyNumberFormat="1" applyFont="1" applyFill="1" applyBorder="1" applyAlignment="1" applyProtection="1">
      <alignment horizontal="center" vertical="center"/>
    </xf>
    <xf numFmtId="0" fontId="0" fillId="11" borderId="0" xfId="0" applyFill="1" applyProtection="1"/>
    <xf numFmtId="1" fontId="4" fillId="11" borderId="0" xfId="0" applyNumberFormat="1" applyFont="1" applyFill="1" applyProtection="1"/>
    <xf numFmtId="0" fontId="0" fillId="0" borderId="0" xfId="0" applyFill="1" applyProtection="1"/>
    <xf numFmtId="14" fontId="12" fillId="6" borderId="7" xfId="3" applyNumberFormat="1" applyFont="1" applyFill="1" applyBorder="1" applyAlignment="1" applyProtection="1">
      <alignment horizontal="left" vertical="center" wrapText="1"/>
    </xf>
    <xf numFmtId="164" fontId="11" fillId="0" borderId="0" xfId="0" applyNumberFormat="1" applyFont="1" applyProtection="1"/>
    <xf numFmtId="0" fontId="0" fillId="0" borderId="0" xfId="0" applyAlignment="1" applyProtection="1">
      <alignment horizontal="left" vertical="center"/>
    </xf>
    <xf numFmtId="9" fontId="0" fillId="0" borderId="0" xfId="2" applyFont="1" applyProtection="1"/>
    <xf numFmtId="0" fontId="0" fillId="3" borderId="0" xfId="0" applyFill="1" applyProtection="1"/>
    <xf numFmtId="9" fontId="0" fillId="0" borderId="0" xfId="2" applyFont="1" applyFill="1" applyProtection="1"/>
    <xf numFmtId="0" fontId="0" fillId="12" borderId="0" xfId="0" applyFill="1" applyProtection="1"/>
    <xf numFmtId="0" fontId="0" fillId="10" borderId="0" xfId="0" applyFill="1" applyProtection="1"/>
    <xf numFmtId="0" fontId="0" fillId="8" borderId="0" xfId="0" applyFill="1" applyProtection="1"/>
    <xf numFmtId="1" fontId="0" fillId="12" borderId="0" xfId="0" applyNumberFormat="1" applyFill="1" applyProtection="1"/>
    <xf numFmtId="0" fontId="14" fillId="12" borderId="0" xfId="0" applyFont="1" applyFill="1" applyProtection="1"/>
    <xf numFmtId="0" fontId="14" fillId="12" borderId="0" xfId="0" applyFont="1" applyFill="1" applyAlignment="1" applyProtection="1">
      <alignment horizontal="right"/>
    </xf>
    <xf numFmtId="0" fontId="0" fillId="9" borderId="10" xfId="0" applyFill="1" applyBorder="1" applyAlignment="1" applyProtection="1">
      <alignment horizontal="center"/>
    </xf>
    <xf numFmtId="0" fontId="0" fillId="10" borderId="13" xfId="0" applyFill="1" applyBorder="1" applyAlignment="1" applyProtection="1">
      <alignment horizontal="center"/>
    </xf>
    <xf numFmtId="0" fontId="0" fillId="8" borderId="15" xfId="0" applyFill="1" applyBorder="1" applyAlignment="1" applyProtection="1">
      <alignment horizontal="center"/>
    </xf>
    <xf numFmtId="0" fontId="14" fillId="12" borderId="0" xfId="0" applyFont="1" applyFill="1" applyAlignment="1" applyProtection="1">
      <alignment horizontal="center"/>
    </xf>
    <xf numFmtId="1" fontId="0" fillId="9" borderId="0" xfId="0" applyNumberFormat="1" applyFill="1" applyProtection="1"/>
    <xf numFmtId="1" fontId="0" fillId="10" borderId="0" xfId="0" applyNumberFormat="1" applyFill="1" applyProtection="1"/>
    <xf numFmtId="1" fontId="0" fillId="8" borderId="0" xfId="0" applyNumberFormat="1" applyFill="1" applyProtection="1"/>
    <xf numFmtId="1" fontId="5" fillId="6" borderId="7" xfId="3" applyNumberFormat="1" applyFont="1" applyFill="1" applyBorder="1" applyAlignment="1" applyProtection="1">
      <alignment vertical="center"/>
    </xf>
    <xf numFmtId="0" fontId="0" fillId="13" borderId="0" xfId="0" applyFill="1" applyProtection="1"/>
    <xf numFmtId="1" fontId="4" fillId="11" borderId="22" xfId="0" applyNumberFormat="1" applyFont="1" applyFill="1" applyBorder="1" applyProtection="1"/>
    <xf numFmtId="0" fontId="13" fillId="11" borderId="0" xfId="0" applyFont="1" applyFill="1" applyProtection="1"/>
    <xf numFmtId="164" fontId="11" fillId="0" borderId="0" xfId="0" applyNumberFormat="1" applyFont="1" applyFill="1" applyProtection="1"/>
    <xf numFmtId="0" fontId="0" fillId="0" borderId="0" xfId="0" applyFill="1" applyAlignment="1" applyProtection="1">
      <alignment horizontal="left" vertical="center"/>
    </xf>
    <xf numFmtId="165" fontId="19" fillId="11" borderId="0" xfId="0" applyNumberFormat="1" applyFont="1" applyFill="1" applyProtection="1"/>
    <xf numFmtId="0" fontId="4" fillId="11" borderId="0" xfId="0" applyFont="1" applyFill="1" applyProtection="1"/>
    <xf numFmtId="14" fontId="0" fillId="12" borderId="0" xfId="0" applyNumberFormat="1" applyFill="1" applyProtection="1"/>
    <xf numFmtId="9" fontId="20" fillId="12" borderId="0" xfId="0" applyNumberFormat="1" applyFont="1" applyFill="1" applyProtection="1"/>
    <xf numFmtId="164" fontId="18" fillId="21" borderId="0" xfId="0" applyNumberFormat="1" applyFont="1" applyFill="1" applyAlignment="1" applyProtection="1">
      <alignment horizontal="center"/>
    </xf>
    <xf numFmtId="0" fontId="18" fillId="21" borderId="0" xfId="0" applyFont="1" applyFill="1" applyAlignment="1" applyProtection="1">
      <alignment horizontal="center"/>
    </xf>
    <xf numFmtId="9" fontId="18" fillId="21" borderId="0" xfId="2" applyNumberFormat="1" applyFont="1" applyFill="1" applyAlignment="1" applyProtection="1">
      <alignment horizontal="center"/>
    </xf>
    <xf numFmtId="0" fontId="6" fillId="21" borderId="0" xfId="0" applyFont="1" applyFill="1" applyAlignment="1" applyProtection="1"/>
    <xf numFmtId="0" fontId="18" fillId="24" borderId="0" xfId="0" applyFont="1" applyFill="1" applyAlignment="1" applyProtection="1">
      <alignment horizontal="center"/>
    </xf>
    <xf numFmtId="0" fontId="18" fillId="24" borderId="0" xfId="0" applyFont="1" applyFill="1" applyAlignment="1" applyProtection="1">
      <alignment horizontal="center" wrapText="1"/>
    </xf>
    <xf numFmtId="0" fontId="18" fillId="25" borderId="0" xfId="0" applyFont="1" applyFill="1" applyAlignment="1" applyProtection="1">
      <alignment horizontal="right"/>
    </xf>
    <xf numFmtId="1" fontId="8" fillId="16" borderId="1" xfId="3" applyNumberFormat="1" applyFont="1" applyFill="1" applyAlignment="1" applyProtection="1">
      <alignment horizontal="left" vertical="center"/>
    </xf>
    <xf numFmtId="9" fontId="8" fillId="16" borderId="18" xfId="2" applyFont="1" applyFill="1" applyBorder="1" applyProtection="1"/>
    <xf numFmtId="1" fontId="8" fillId="16" borderId="1" xfId="3" applyNumberFormat="1" applyFont="1" applyFill="1" applyProtection="1"/>
    <xf numFmtId="9" fontId="8" fillId="16" borderId="1" xfId="2" applyFont="1" applyFill="1" applyBorder="1" applyProtection="1"/>
    <xf numFmtId="165" fontId="9" fillId="16" borderId="1" xfId="3" applyNumberFormat="1" applyFont="1" applyFill="1" applyProtection="1"/>
    <xf numFmtId="1" fontId="9" fillId="16" borderId="1" xfId="3" applyNumberFormat="1" applyFont="1" applyFill="1" applyProtection="1"/>
    <xf numFmtId="165" fontId="8" fillId="16" borderId="1" xfId="3" applyNumberFormat="1" applyFont="1" applyFill="1" applyAlignment="1" applyProtection="1"/>
    <xf numFmtId="1" fontId="8" fillId="11" borderId="1" xfId="3" applyNumberFormat="1" applyFont="1" applyFill="1" applyAlignment="1" applyProtection="1">
      <alignment horizontal="left" vertical="center"/>
    </xf>
    <xf numFmtId="9" fontId="8" fillId="11" borderId="18" xfId="2" applyFont="1" applyFill="1" applyBorder="1" applyProtection="1"/>
    <xf numFmtId="1" fontId="8" fillId="11" borderId="1" xfId="3" applyNumberFormat="1" applyFont="1" applyFill="1" applyProtection="1"/>
    <xf numFmtId="9" fontId="8" fillId="11" borderId="1" xfId="2" applyFont="1" applyFill="1" applyBorder="1" applyProtection="1"/>
    <xf numFmtId="165" fontId="8" fillId="11" borderId="1" xfId="3" applyNumberFormat="1" applyFont="1" applyFill="1" applyAlignment="1" applyProtection="1"/>
    <xf numFmtId="165" fontId="9" fillId="11" borderId="1" xfId="3" applyNumberFormat="1" applyFont="1" applyFill="1" applyProtection="1"/>
    <xf numFmtId="1" fontId="9" fillId="11" borderId="1" xfId="3" applyNumberFormat="1" applyFont="1" applyFill="1" applyProtection="1"/>
    <xf numFmtId="0" fontId="13" fillId="9" borderId="0" xfId="0" applyFont="1" applyFill="1" applyProtection="1"/>
    <xf numFmtId="0" fontId="0" fillId="7" borderId="22" xfId="0" applyFill="1" applyBorder="1" applyProtection="1"/>
    <xf numFmtId="0" fontId="0" fillId="6" borderId="22" xfId="0" applyFill="1" applyBorder="1" applyProtection="1"/>
    <xf numFmtId="0" fontId="0" fillId="15" borderId="22" xfId="0" applyFill="1" applyBorder="1" applyProtection="1"/>
    <xf numFmtId="0" fontId="0" fillId="16" borderId="22" xfId="0" applyFill="1" applyBorder="1" applyProtection="1"/>
    <xf numFmtId="0" fontId="0" fillId="17" borderId="22" xfId="0" applyFill="1" applyBorder="1" applyProtection="1"/>
    <xf numFmtId="0" fontId="0" fillId="18" borderId="22" xfId="0" applyFill="1" applyBorder="1" applyProtection="1"/>
    <xf numFmtId="0" fontId="0" fillId="19" borderId="22" xfId="0" applyFill="1" applyBorder="1" applyProtection="1"/>
    <xf numFmtId="0" fontId="0" fillId="20" borderId="22" xfId="0" applyFill="1" applyBorder="1" applyProtection="1"/>
    <xf numFmtId="0" fontId="0" fillId="21" borderId="22" xfId="0" applyFill="1" applyBorder="1" applyProtection="1"/>
    <xf numFmtId="0" fontId="0" fillId="22" borderId="22" xfId="0" applyFill="1" applyBorder="1" applyProtection="1"/>
    <xf numFmtId="0" fontId="0" fillId="23" borderId="22" xfId="0" applyFill="1" applyBorder="1" applyProtection="1"/>
    <xf numFmtId="0" fontId="0" fillId="4" borderId="22" xfId="0" applyFill="1" applyBorder="1" applyProtection="1"/>
    <xf numFmtId="165" fontId="0" fillId="7" borderId="0" xfId="0" applyNumberFormat="1" applyFill="1" applyProtection="1"/>
    <xf numFmtId="165" fontId="0" fillId="0" borderId="0" xfId="0" applyNumberFormat="1" applyProtection="1"/>
    <xf numFmtId="165" fontId="0" fillId="6" borderId="0" xfId="0" applyNumberFormat="1" applyFill="1" applyProtection="1"/>
    <xf numFmtId="165" fontId="0" fillId="15" borderId="0" xfId="0" applyNumberFormat="1" applyFill="1" applyProtection="1"/>
    <xf numFmtId="165" fontId="0" fillId="16" borderId="0" xfId="0" applyNumberFormat="1" applyFill="1" applyProtection="1"/>
    <xf numFmtId="165" fontId="0" fillId="17" borderId="0" xfId="0" applyNumberFormat="1" applyFill="1" applyProtection="1"/>
    <xf numFmtId="165" fontId="0" fillId="18" borderId="0" xfId="0" applyNumberFormat="1" applyFill="1" applyProtection="1"/>
    <xf numFmtId="165" fontId="0" fillId="19" borderId="0" xfId="0" applyNumberFormat="1" applyFill="1" applyProtection="1"/>
    <xf numFmtId="165" fontId="0" fillId="20" borderId="0" xfId="0" applyNumberFormat="1" applyFill="1" applyProtection="1"/>
    <xf numFmtId="165" fontId="0" fillId="21" borderId="0" xfId="0" applyNumberFormat="1" applyFill="1" applyProtection="1"/>
    <xf numFmtId="165" fontId="0" fillId="22" borderId="0" xfId="0" applyNumberFormat="1" applyFill="1" applyProtection="1"/>
    <xf numFmtId="165" fontId="0" fillId="23" borderId="0" xfId="0" applyNumberFormat="1" applyFill="1" applyProtection="1"/>
    <xf numFmtId="165" fontId="0" fillId="4" borderId="0" xfId="0" applyNumberFormat="1" applyFill="1" applyProtection="1"/>
    <xf numFmtId="165" fontId="8" fillId="6" borderId="1" xfId="3" applyNumberFormat="1" applyFont="1" applyFill="1" applyBorder="1" applyAlignment="1" applyProtection="1"/>
    <xf numFmtId="164" fontId="11" fillId="3" borderId="0" xfId="0" applyNumberFormat="1" applyFont="1" applyFill="1" applyAlignment="1" applyProtection="1">
      <alignment vertical="center"/>
    </xf>
    <xf numFmtId="9" fontId="6" fillId="3" borderId="0" xfId="2" applyFont="1" applyFill="1" applyAlignment="1" applyProtection="1">
      <alignment horizontal="center"/>
    </xf>
    <xf numFmtId="0" fontId="7" fillId="3" borderId="0" xfId="0" applyFont="1" applyFill="1" applyAlignment="1" applyProtection="1"/>
    <xf numFmtId="0" fontId="7" fillId="4" borderId="0" xfId="0" applyFont="1" applyFill="1" applyAlignment="1" applyProtection="1">
      <alignment horizontal="center" wrapText="1"/>
    </xf>
    <xf numFmtId="0" fontId="1" fillId="0" borderId="0" xfId="0" applyFont="1" applyProtection="1"/>
    <xf numFmtId="1" fontId="17" fillId="14" borderId="0" xfId="0" applyNumberFormat="1" applyFont="1" applyFill="1" applyAlignment="1" applyProtection="1">
      <alignment horizontal="center" vertical="center" wrapText="1"/>
    </xf>
    <xf numFmtId="1" fontId="1" fillId="14" borderId="0" xfId="0" applyNumberFormat="1" applyFont="1" applyFill="1" applyAlignment="1" applyProtection="1">
      <alignment horizontal="center" vertical="center" wrapText="1"/>
    </xf>
    <xf numFmtId="1" fontId="17" fillId="14" borderId="0" xfId="0" applyNumberFormat="1" applyFont="1" applyFill="1" applyAlignment="1" applyProtection="1">
      <alignment vertical="center" wrapText="1"/>
    </xf>
    <xf numFmtId="1" fontId="14" fillId="14" borderId="0" xfId="0" applyNumberFormat="1" applyFont="1" applyFill="1" applyProtection="1"/>
    <xf numFmtId="0" fontId="20" fillId="12" borderId="0" xfId="0" applyFont="1" applyFill="1" applyProtection="1"/>
    <xf numFmtId="0" fontId="20" fillId="12" borderId="0" xfId="0" applyFont="1" applyFill="1" applyAlignment="1" applyProtection="1">
      <alignment horizontal="left"/>
    </xf>
    <xf numFmtId="0" fontId="20" fillId="12" borderId="0" xfId="0" applyFont="1" applyFill="1" applyAlignment="1" applyProtection="1">
      <alignment horizontal="right"/>
    </xf>
    <xf numFmtId="0" fontId="20" fillId="12" borderId="0" xfId="0" applyFont="1" applyFill="1" applyAlignment="1" applyProtection="1">
      <alignment horizontal="center"/>
    </xf>
    <xf numFmtId="0" fontId="0" fillId="12" borderId="0" xfId="0" applyFont="1" applyFill="1" applyProtection="1"/>
    <xf numFmtId="14" fontId="12" fillId="6" borderId="6" xfId="3" applyNumberFormat="1" applyFont="1" applyFill="1" applyBorder="1" applyAlignment="1" applyProtection="1">
      <alignment horizontal="left" vertical="center" wrapText="1"/>
    </xf>
    <xf numFmtId="165" fontId="8" fillId="16" borderId="1" xfId="1" applyNumberFormat="1" applyFont="1" applyFill="1" applyBorder="1" applyAlignment="1" applyProtection="1"/>
    <xf numFmtId="165" fontId="8" fillId="6" borderId="6" xfId="3" applyNumberFormat="1" applyFont="1" applyFill="1" applyBorder="1" applyAlignment="1" applyProtection="1">
      <alignment horizontal="center" vertical="center"/>
    </xf>
    <xf numFmtId="1" fontId="5" fillId="6" borderId="6" xfId="3" applyNumberFormat="1" applyFont="1" applyFill="1" applyBorder="1" applyAlignment="1" applyProtection="1">
      <alignment vertical="center"/>
    </xf>
    <xf numFmtId="14" fontId="12" fillId="6" borderId="7" xfId="3" applyNumberFormat="1" applyFont="1" applyFill="1" applyBorder="1" applyAlignment="1" applyProtection="1">
      <alignment horizontal="left" vertical="center" textRotation="90"/>
    </xf>
    <xf numFmtId="14" fontId="12" fillId="6" borderId="4" xfId="3" applyNumberFormat="1" applyFont="1" applyFill="1" applyBorder="1" applyAlignment="1" applyProtection="1">
      <alignment horizontal="left" vertical="center" textRotation="90" wrapText="1"/>
    </xf>
    <xf numFmtId="1" fontId="8" fillId="6" borderId="4" xfId="3" applyNumberFormat="1" applyFont="1" applyFill="1" applyBorder="1" applyAlignment="1" applyProtection="1">
      <alignment horizontal="center" vertical="center"/>
    </xf>
    <xf numFmtId="1" fontId="5" fillId="6" borderId="4" xfId="3" applyNumberFormat="1" applyFont="1" applyFill="1" applyBorder="1" applyAlignment="1" applyProtection="1">
      <alignment vertical="center"/>
    </xf>
    <xf numFmtId="164" fontId="11" fillId="5" borderId="8" xfId="0" applyNumberFormat="1" applyFont="1" applyFill="1" applyBorder="1" applyProtection="1"/>
    <xf numFmtId="0" fontId="7" fillId="5" borderId="8" xfId="0" applyFont="1" applyFill="1" applyBorder="1" applyAlignment="1" applyProtection="1">
      <alignment horizontal="left" vertical="center"/>
    </xf>
    <xf numFmtId="9" fontId="18" fillId="5" borderId="8" xfId="2" applyFont="1" applyFill="1" applyBorder="1" applyProtection="1"/>
    <xf numFmtId="1" fontId="8" fillId="5" borderId="0" xfId="0" applyNumberFormat="1" applyFont="1" applyFill="1" applyProtection="1"/>
    <xf numFmtId="1" fontId="8" fillId="5" borderId="8" xfId="3" applyNumberFormat="1" applyFont="1" applyFill="1" applyBorder="1" applyProtection="1"/>
    <xf numFmtId="9" fontId="7" fillId="5" borderId="0" xfId="2" applyFont="1" applyFill="1" applyProtection="1"/>
    <xf numFmtId="165" fontId="7" fillId="5" borderId="0" xfId="0" applyNumberFormat="1" applyFont="1" applyFill="1" applyProtection="1"/>
    <xf numFmtId="0" fontId="7" fillId="5" borderId="0" xfId="0" applyFont="1" applyFill="1" applyProtection="1"/>
    <xf numFmtId="0" fontId="7" fillId="5" borderId="8" xfId="0" applyFont="1" applyFill="1" applyBorder="1" applyProtection="1"/>
    <xf numFmtId="165" fontId="10" fillId="5" borderId="8" xfId="0" applyNumberFormat="1" applyFont="1" applyFill="1" applyBorder="1" applyProtection="1"/>
    <xf numFmtId="165" fontId="9" fillId="5" borderId="8" xfId="3" applyNumberFormat="1" applyFont="1" applyFill="1" applyBorder="1" applyProtection="1"/>
    <xf numFmtId="1" fontId="9" fillId="5" borderId="8" xfId="3" applyNumberFormat="1" applyFont="1" applyFill="1" applyBorder="1" applyProtection="1"/>
    <xf numFmtId="1" fontId="8" fillId="5" borderId="8" xfId="3" applyNumberFormat="1" applyFont="1" applyFill="1" applyBorder="1" applyAlignment="1" applyProtection="1">
      <alignment vertical="center"/>
    </xf>
    <xf numFmtId="1" fontId="5" fillId="5" borderId="2" xfId="3" applyNumberFormat="1" applyFont="1" applyFill="1" applyBorder="1" applyAlignment="1" applyProtection="1">
      <alignment vertical="center"/>
    </xf>
    <xf numFmtId="14" fontId="12" fillId="6" borderId="6" xfId="3" applyNumberFormat="1" applyFont="1" applyFill="1" applyBorder="1" applyAlignment="1" applyProtection="1">
      <alignment horizontal="left" vertical="center"/>
    </xf>
    <xf numFmtId="1" fontId="5" fillId="6" borderId="6" xfId="3" applyNumberFormat="1" applyFont="1" applyFill="1" applyBorder="1" applyAlignment="1" applyProtection="1">
      <alignment horizontal="center" vertical="center"/>
    </xf>
    <xf numFmtId="14" fontId="12" fillId="7" borderId="4" xfId="3" applyNumberFormat="1" applyFont="1" applyFill="1" applyBorder="1" applyAlignment="1" applyProtection="1">
      <alignment horizontal="left" vertical="center" textRotation="90" wrapText="1"/>
    </xf>
    <xf numFmtId="1" fontId="5" fillId="6" borderId="4" xfId="3" applyNumberFormat="1" applyFont="1" applyFill="1" applyBorder="1" applyAlignment="1" applyProtection="1">
      <alignment horizontal="center" vertical="center"/>
    </xf>
    <xf numFmtId="0" fontId="0" fillId="12" borderId="0" xfId="0" applyFill="1" applyBorder="1" applyProtection="1"/>
    <xf numFmtId="165" fontId="9" fillId="5" borderId="2" xfId="3" applyNumberFormat="1" applyFont="1" applyFill="1" applyBorder="1" applyProtection="1"/>
    <xf numFmtId="0" fontId="0" fillId="12" borderId="0" xfId="0" applyNumberFormat="1" applyFill="1" applyProtection="1"/>
    <xf numFmtId="1" fontId="17" fillId="14" borderId="5" xfId="0" applyNumberFormat="1" applyFont="1" applyFill="1" applyBorder="1" applyAlignment="1" applyProtection="1">
      <alignment horizontal="center" vertical="center" wrapText="1"/>
    </xf>
    <xf numFmtId="1" fontId="1" fillId="14" borderId="5" xfId="0" applyNumberFormat="1" applyFont="1" applyFill="1" applyBorder="1" applyAlignment="1" applyProtection="1">
      <alignment horizontal="center" vertical="center" wrapText="1"/>
    </xf>
    <xf numFmtId="165" fontId="1" fillId="14" borderId="5" xfId="0" applyNumberFormat="1" applyFont="1" applyFill="1" applyBorder="1" applyAlignment="1" applyProtection="1">
      <alignment horizontal="center" vertical="center" wrapText="1"/>
    </xf>
    <xf numFmtId="164" fontId="11" fillId="5" borderId="0" xfId="0" applyNumberFormat="1" applyFont="1" applyFill="1" applyProtection="1"/>
    <xf numFmtId="0" fontId="21" fillId="5" borderId="8" xfId="0" applyFont="1" applyFill="1" applyBorder="1" applyProtection="1"/>
    <xf numFmtId="165" fontId="22" fillId="5" borderId="8" xfId="3" applyNumberFormat="1" applyFont="1" applyFill="1" applyBorder="1" applyProtection="1"/>
    <xf numFmtId="1" fontId="22" fillId="5" borderId="8" xfId="3" applyNumberFormat="1" applyFont="1" applyFill="1" applyBorder="1" applyProtection="1"/>
    <xf numFmtId="0" fontId="7" fillId="5" borderId="0" xfId="0" applyFont="1" applyFill="1" applyAlignment="1" applyProtection="1">
      <alignment vertical="center"/>
    </xf>
    <xf numFmtId="14" fontId="12" fillId="6" borderId="4" xfId="3" applyNumberFormat="1" applyFont="1" applyFill="1" applyBorder="1" applyAlignment="1" applyProtection="1">
      <alignment horizontal="left" vertical="center" wrapText="1"/>
    </xf>
    <xf numFmtId="164" fontId="11" fillId="5" borderId="0" xfId="0" applyNumberFormat="1" applyFont="1" applyFill="1" applyAlignment="1" applyProtection="1"/>
    <xf numFmtId="165" fontId="21" fillId="5" borderId="0" xfId="0" applyNumberFormat="1" applyFont="1" applyFill="1" applyProtection="1"/>
    <xf numFmtId="0" fontId="21" fillId="5" borderId="0" xfId="0" applyFont="1" applyFill="1" applyProtection="1"/>
    <xf numFmtId="0" fontId="7" fillId="0" borderId="0" xfId="0" applyFont="1" applyAlignment="1" applyProtection="1">
      <alignment vertical="center"/>
    </xf>
    <xf numFmtId="165" fontId="18" fillId="14" borderId="5" xfId="0" applyNumberFormat="1" applyFont="1" applyFill="1" applyBorder="1" applyAlignment="1" applyProtection="1">
      <alignment horizontal="center" vertical="center" wrapText="1"/>
    </xf>
    <xf numFmtId="165" fontId="8" fillId="6" borderId="1" xfId="1" applyNumberFormat="1" applyFont="1" applyFill="1" applyBorder="1" applyAlignment="1" applyProtection="1"/>
    <xf numFmtId="165" fontId="8" fillId="6" borderId="17" xfId="3" applyNumberFormat="1" applyFont="1" applyFill="1" applyBorder="1" applyAlignment="1" applyProtection="1"/>
    <xf numFmtId="165" fontId="8" fillId="6" borderId="4" xfId="3" applyNumberFormat="1" applyFont="1" applyFill="1" applyBorder="1" applyAlignment="1" applyProtection="1"/>
    <xf numFmtId="0" fontId="7" fillId="5" borderId="0" xfId="0" applyFont="1" applyFill="1" applyAlignment="1" applyProtection="1">
      <alignment horizontal="left" vertical="center"/>
    </xf>
    <xf numFmtId="9" fontId="18" fillId="5" borderId="18" xfId="2" applyFont="1" applyFill="1" applyBorder="1" applyProtection="1"/>
    <xf numFmtId="165" fontId="10" fillId="5" borderId="0" xfId="0" applyNumberFormat="1" applyFont="1" applyFill="1" applyProtection="1"/>
    <xf numFmtId="165" fontId="9" fillId="5" borderId="1" xfId="3" applyNumberFormat="1" applyFont="1" applyFill="1" applyProtection="1"/>
    <xf numFmtId="1" fontId="9" fillId="5" borderId="1" xfId="3" applyNumberFormat="1" applyFont="1" applyFill="1" applyProtection="1"/>
    <xf numFmtId="1" fontId="8" fillId="5" borderId="1" xfId="3" applyNumberFormat="1" applyFont="1" applyFill="1" applyAlignment="1" applyProtection="1">
      <alignment vertical="center"/>
    </xf>
    <xf numFmtId="1" fontId="5" fillId="5" borderId="1" xfId="3" applyNumberFormat="1" applyFont="1" applyFill="1" applyAlignment="1" applyProtection="1">
      <alignment vertical="center"/>
    </xf>
    <xf numFmtId="9" fontId="8" fillId="6" borderId="3" xfId="2" applyNumberFormat="1" applyFont="1" applyFill="1" applyBorder="1" applyProtection="1"/>
    <xf numFmtId="164" fontId="11" fillId="7" borderId="0" xfId="0" applyNumberFormat="1" applyFont="1" applyFill="1" applyProtection="1"/>
    <xf numFmtId="0" fontId="7" fillId="7" borderId="0" xfId="0" applyFont="1" applyFill="1" applyAlignment="1" applyProtection="1">
      <alignment horizontal="left" vertical="center"/>
    </xf>
    <xf numFmtId="9" fontId="21" fillId="7" borderId="0" xfId="2" applyFont="1" applyFill="1" applyProtection="1"/>
    <xf numFmtId="165" fontId="23" fillId="5" borderId="0" xfId="0" applyNumberFormat="1" applyFont="1" applyFill="1" applyProtection="1"/>
    <xf numFmtId="9" fontId="21" fillId="5" borderId="0" xfId="2" applyFont="1" applyFill="1" applyProtection="1"/>
    <xf numFmtId="164" fontId="11" fillId="7" borderId="0" xfId="0" applyNumberFormat="1" applyFont="1" applyFill="1" applyAlignment="1" applyProtection="1"/>
    <xf numFmtId="0" fontId="7" fillId="7" borderId="8" xfId="0" applyFont="1" applyFill="1" applyBorder="1" applyProtection="1"/>
    <xf numFmtId="0" fontId="7" fillId="7" borderId="0" xfId="0" applyFont="1" applyFill="1" applyProtection="1"/>
    <xf numFmtId="9" fontId="7" fillId="7" borderId="0" xfId="2" applyFont="1" applyFill="1" applyProtection="1"/>
    <xf numFmtId="165" fontId="7" fillId="7" borderId="0" xfId="0" applyNumberFormat="1" applyFont="1" applyFill="1" applyProtection="1"/>
    <xf numFmtId="0" fontId="24" fillId="3" borderId="0" xfId="0" applyFont="1" applyFill="1" applyAlignment="1" applyProtection="1">
      <alignment horizontal="center"/>
    </xf>
    <xf numFmtId="1" fontId="25" fillId="14" borderId="0" xfId="0" applyNumberFormat="1" applyFont="1" applyFill="1" applyAlignment="1" applyProtection="1">
      <alignment horizontal="center" vertical="center" wrapText="1"/>
    </xf>
    <xf numFmtId="1" fontId="24" fillId="16" borderId="19" xfId="3" applyNumberFormat="1" applyFont="1" applyFill="1" applyBorder="1" applyProtection="1"/>
    <xf numFmtId="1" fontId="24" fillId="6" borderId="23" xfId="3" applyNumberFormat="1" applyFont="1" applyFill="1" applyBorder="1" applyProtection="1"/>
    <xf numFmtId="1" fontId="24" fillId="16" borderId="21" xfId="3" applyNumberFormat="1" applyFont="1" applyFill="1" applyBorder="1" applyProtection="1"/>
    <xf numFmtId="1" fontId="24" fillId="6" borderId="2" xfId="3" applyNumberFormat="1" applyFont="1" applyFill="1" applyBorder="1" applyProtection="1"/>
    <xf numFmtId="1" fontId="24" fillId="5" borderId="8" xfId="3" applyNumberFormat="1" applyFont="1" applyFill="1" applyBorder="1" applyProtection="1"/>
    <xf numFmtId="1" fontId="24" fillId="6" borderId="19" xfId="3" applyNumberFormat="1" applyFont="1" applyFill="1" applyBorder="1" applyProtection="1"/>
    <xf numFmtId="1" fontId="24" fillId="16" borderId="2" xfId="3" applyNumberFormat="1" applyFont="1" applyFill="1" applyBorder="1" applyProtection="1"/>
    <xf numFmtId="1" fontId="25" fillId="14" borderId="5" xfId="0" applyNumberFormat="1" applyFont="1" applyFill="1" applyBorder="1" applyAlignment="1" applyProtection="1">
      <alignment horizontal="center" vertical="center" wrapText="1"/>
    </xf>
    <xf numFmtId="1" fontId="24" fillId="11" borderId="2" xfId="3" applyNumberFormat="1" applyFont="1" applyFill="1" applyBorder="1" applyProtection="1"/>
    <xf numFmtId="1" fontId="24" fillId="6" borderId="20" xfId="3" applyNumberFormat="1" applyFont="1" applyFill="1" applyBorder="1" applyProtection="1"/>
    <xf numFmtId="1" fontId="24" fillId="6" borderId="21" xfId="3" applyNumberFormat="1" applyFont="1" applyFill="1" applyBorder="1" applyProtection="1"/>
    <xf numFmtId="0" fontId="26" fillId="0" borderId="0" xfId="0" applyFont="1" applyFill="1" applyProtection="1"/>
    <xf numFmtId="0" fontId="26" fillId="0" borderId="0" xfId="0" applyFont="1" applyProtection="1"/>
  </cellXfs>
  <cellStyles count="4">
    <cellStyle name="Calculation" xfId="3" builtinId="22"/>
    <cellStyle name="Comma" xfId="1" builtinId="3"/>
    <cellStyle name="Normal" xfId="0" builtinId="0"/>
    <cellStyle name="Percent" xfId="2" builtinId="5"/>
  </cellStyles>
  <dxfs count="20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 tint="-0.499984740745262"/>
        <name val="Calibri"/>
        <family val="2"/>
        <scheme val="minor"/>
      </font>
      <numFmt numFmtId="165" formatCode="0.0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rgb="FF7F7F7F"/>
        </right>
        <top style="thin">
          <color rgb="FF7F7F7F"/>
        </top>
        <bottom style="thin">
          <color rgb="FF7F7F7F"/>
        </bottom>
      </border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numFmt numFmtId="165" formatCode="0.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8" tint="0.5999938962981048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65" formatCode="0.0"/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8" tint="0.5999938962981048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rgb="FF7F7F7F"/>
        </left>
        <right/>
        <top style="thin">
          <color rgb="FF7F7F7F"/>
        </top>
        <bottom style="thin">
          <color rgb="FF7F7F7F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 tint="4.9989318521683403E-2"/>
        <name val="Calibri"/>
        <family val="2"/>
        <scheme val="min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left" vertical="center" textRotation="90" wrapText="1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25C50"/>
      <color rgb="FF49D750"/>
      <color rgb="FFF68A82"/>
      <color rgb="FFDB462D"/>
      <color rgb="FF4C74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Tonnage Gesamt</a:t>
            </a:r>
            <a:endParaRPr lang="ru-RU"/>
          </a:p>
        </c:rich>
      </c:tx>
      <c:layout>
        <c:manualLayout>
          <c:xMode val="edge"/>
          <c:yMode val="edge"/>
          <c:x val="8.5685292047612702E-2"/>
          <c:y val="2.19160104986876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104350801163255"/>
          <c:y val="0.19969165846025352"/>
          <c:w val="0.84718255045705493"/>
          <c:h val="0.69837920027320632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circle"/>
              <c:size val="6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2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CD6-40B3-B7BB-2236ABCC158A}"/>
              </c:ext>
            </c:extLst>
          </c:dPt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2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D5E-4B4A-9634-61797F20C783}"/>
              </c:ext>
            </c:extLst>
          </c:dPt>
          <c:yVal>
            <c:numRef>
              <c:f>('T1'!$AA$4,'T1'!$AA$5,'T1'!$AA$6,'T1'!$AA$7,'T1'!$AA$8,'T1'!$AA$9,'T1'!$AA$10,'T1'!$AA$11,'T1'!$AA$12,'T1'!$AA$13,'T1'!$AA$14,'T1'!$AA$15)</c:f>
              <c:numCache>
                <c:formatCode>0</c:formatCode>
                <c:ptCount val="12"/>
                <c:pt idx="0">
                  <c:v>23917.5</c:v>
                </c:pt>
                <c:pt idx="1">
                  <c:v>26846.25</c:v>
                </c:pt>
                <c:pt idx="2">
                  <c:v>28190.399999999998</c:v>
                </c:pt>
                <c:pt idx="3">
                  <c:v>24318</c:v>
                </c:pt>
                <c:pt idx="4">
                  <c:v>27285</c:v>
                </c:pt>
                <c:pt idx="5">
                  <c:v>28642.5</c:v>
                </c:pt>
                <c:pt idx="6">
                  <c:v>25610.639999999999</c:v>
                </c:pt>
                <c:pt idx="7">
                  <c:v>28363.45</c:v>
                </c:pt>
                <c:pt idx="8">
                  <c:v>29875.35</c:v>
                </c:pt>
                <c:pt idx="9">
                  <c:v>26479.214999999997</c:v>
                </c:pt>
                <c:pt idx="10">
                  <c:v>29463.5</c:v>
                </c:pt>
                <c:pt idx="11">
                  <c:v>30869.7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D-4B3A-BCC3-C0888DB9E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458352"/>
        <c:axId val="776659816"/>
      </c:scatterChart>
      <c:valAx>
        <c:axId val="74445835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6659816"/>
        <c:crosses val="autoZero"/>
        <c:crossBetween val="midCat"/>
      </c:valAx>
      <c:valAx>
        <c:axId val="776659816"/>
        <c:scaling>
          <c:orientation val="minMax"/>
          <c:min val="23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4445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Volume</a:t>
            </a:r>
            <a:endParaRPr lang="ru-RU"/>
          </a:p>
        </c:rich>
      </c:tx>
      <c:layout>
        <c:manualLayout>
          <c:xMode val="edge"/>
          <c:yMode val="edge"/>
          <c:x val="0.42835180126500516"/>
          <c:y val="2.35212626658295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6641023320360814E-2"/>
          <c:y val="0.21979259259259262"/>
          <c:w val="0.87594079036408234"/>
          <c:h val="0.64273619130941961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yVal>
            <c:numRef>
              <c:f>('T1'!$AB$4,'T1'!$AB$5,'T1'!$AB$6,'T1'!$AB$7,'T1'!$AB$8,'T1'!$AB$9,'T1'!$AB$10,'T1'!$AB$11,'T1'!$AB$12,'T1'!$AB$13,'T1'!$AB$14,'T1'!$AB$15)</c:f>
              <c:numCache>
                <c:formatCode>0</c:formatCode>
                <c:ptCount val="12"/>
                <c:pt idx="0">
                  <c:v>535</c:v>
                </c:pt>
                <c:pt idx="1">
                  <c:v>459</c:v>
                </c:pt>
                <c:pt idx="2">
                  <c:v>432</c:v>
                </c:pt>
                <c:pt idx="3">
                  <c:v>535</c:v>
                </c:pt>
                <c:pt idx="4">
                  <c:v>459</c:v>
                </c:pt>
                <c:pt idx="5">
                  <c:v>432</c:v>
                </c:pt>
                <c:pt idx="6">
                  <c:v>535</c:v>
                </c:pt>
                <c:pt idx="7">
                  <c:v>459</c:v>
                </c:pt>
                <c:pt idx="8">
                  <c:v>432</c:v>
                </c:pt>
                <c:pt idx="9">
                  <c:v>535</c:v>
                </c:pt>
                <c:pt idx="10">
                  <c:v>459</c:v>
                </c:pt>
                <c:pt idx="11">
                  <c:v>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EB-40B9-808A-D2305A60B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459336"/>
        <c:axId val="744462288"/>
      </c:scatterChart>
      <c:valAx>
        <c:axId val="74445933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44462288"/>
        <c:crosses val="autoZero"/>
        <c:crossBetween val="midCat"/>
      </c:valAx>
      <c:valAx>
        <c:axId val="744462288"/>
        <c:scaling>
          <c:orientation val="minMax"/>
          <c:max val="600"/>
          <c:min val="3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44459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mttl. Gewicht (Tonnage/wdh)</a:t>
            </a:r>
            <a:endParaRPr lang="ru-RU"/>
          </a:p>
        </c:rich>
      </c:tx>
      <c:layout>
        <c:manualLayout>
          <c:xMode val="edge"/>
          <c:yMode val="edge"/>
          <c:x val="0.28291274839092301"/>
          <c:y val="1.32532062921051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4005420161684867E-2"/>
          <c:y val="0.2427225558180596"/>
          <c:w val="0.87081982399258917"/>
          <c:h val="0.63635786830993957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yVal>
            <c:numRef>
              <c:f>('T1'!$AC$4,'T1'!$AC$5,'T1'!$AC$6,'T1'!$AC$7,'T1'!$AC$8,'T1'!$AC$9,'T1'!$AC$10,'T1'!$AC$11,'T1'!$AC$12,'T1'!$AC$13,'T1'!$AC$14,'T1'!$AC$15)</c:f>
              <c:numCache>
                <c:formatCode>0</c:formatCode>
                <c:ptCount val="12"/>
                <c:pt idx="0">
                  <c:v>44.705607476635514</c:v>
                </c:pt>
                <c:pt idx="1">
                  <c:v>58.488562091503269</c:v>
                </c:pt>
                <c:pt idx="2">
                  <c:v>65.255555555555546</c:v>
                </c:pt>
                <c:pt idx="3">
                  <c:v>45.454205607476638</c:v>
                </c:pt>
                <c:pt idx="4">
                  <c:v>59.444444444444443</c:v>
                </c:pt>
                <c:pt idx="5">
                  <c:v>66.302083333333329</c:v>
                </c:pt>
                <c:pt idx="6">
                  <c:v>47.870355140186916</c:v>
                </c:pt>
                <c:pt idx="7">
                  <c:v>61.794008714596949</c:v>
                </c:pt>
                <c:pt idx="8">
                  <c:v>69.155902777777769</c:v>
                </c:pt>
                <c:pt idx="9">
                  <c:v>49.493859813084107</c:v>
                </c:pt>
                <c:pt idx="10">
                  <c:v>64.190631808278866</c:v>
                </c:pt>
                <c:pt idx="11">
                  <c:v>71.457638888888894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32-438D-942E-EC0448233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993200"/>
        <c:axId val="753995168"/>
      </c:scatterChart>
      <c:valAx>
        <c:axId val="753993200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995168"/>
        <c:crosses val="autoZero"/>
        <c:crossBetween val="midCat"/>
      </c:valAx>
      <c:valAx>
        <c:axId val="7539951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399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Tonnage Einzelübung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637292003430923"/>
          <c:y val="0.25305007208672475"/>
          <c:w val="0.85081733450187802"/>
          <c:h val="0.6177849104853200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'T1'!$T$4:$T$254</c:f>
              <c:numCache>
                <c:formatCode>0.0</c:formatCode>
                <c:ptCount val="251"/>
                <c:pt idx="0">
                  <c:v>2160</c:v>
                </c:pt>
                <c:pt idx="1">
                  <c:v>2268</c:v>
                </c:pt>
                <c:pt idx="2">
                  <c:v>1650</c:v>
                </c:pt>
                <c:pt idx="3">
                  <c:v>1200</c:v>
                </c:pt>
                <c:pt idx="4">
                  <c:v>750</c:v>
                </c:pt>
                <c:pt idx="5">
                  <c:v>975</c:v>
                </c:pt>
                <c:pt idx="7">
                  <c:v>1512</c:v>
                </c:pt>
                <c:pt idx="8">
                  <c:v>1215</c:v>
                </c:pt>
                <c:pt idx="9">
                  <c:v>2632.5</c:v>
                </c:pt>
                <c:pt idx="10">
                  <c:v>1800</c:v>
                </c:pt>
                <c:pt idx="11">
                  <c:v>900</c:v>
                </c:pt>
                <c:pt idx="12">
                  <c:v>600</c:v>
                </c:pt>
                <c:pt idx="14">
                  <c:v>1200</c:v>
                </c:pt>
                <c:pt idx="15">
                  <c:v>1170</c:v>
                </c:pt>
                <c:pt idx="16">
                  <c:v>675</c:v>
                </c:pt>
                <c:pt idx="17">
                  <c:v>900</c:v>
                </c:pt>
                <c:pt idx="18">
                  <c:v>1260</c:v>
                </c:pt>
                <c:pt idx="19">
                  <c:v>1050</c:v>
                </c:pt>
                <c:pt idx="21">
                  <c:v>2934.75</c:v>
                </c:pt>
                <c:pt idx="22">
                  <c:v>2642.25</c:v>
                </c:pt>
                <c:pt idx="23">
                  <c:v>1657.5000000000002</c:v>
                </c:pt>
                <c:pt idx="24">
                  <c:v>1207.5</c:v>
                </c:pt>
                <c:pt idx="25">
                  <c:v>909.00000000000011</c:v>
                </c:pt>
                <c:pt idx="26">
                  <c:v>1080.75</c:v>
                </c:pt>
                <c:pt idx="28">
                  <c:v>2107.5</c:v>
                </c:pt>
                <c:pt idx="29">
                  <c:v>1357.5000000000002</c:v>
                </c:pt>
                <c:pt idx="30">
                  <c:v>2642.25</c:v>
                </c:pt>
                <c:pt idx="31">
                  <c:v>1867.75</c:v>
                </c:pt>
                <c:pt idx="32">
                  <c:v>907.50000000000011</c:v>
                </c:pt>
                <c:pt idx="33">
                  <c:v>607.50000000000011</c:v>
                </c:pt>
                <c:pt idx="35">
                  <c:v>1055.2499999999998</c:v>
                </c:pt>
                <c:pt idx="36">
                  <c:v>1663.875</c:v>
                </c:pt>
                <c:pt idx="37">
                  <c:v>682.50000000000011</c:v>
                </c:pt>
                <c:pt idx="38">
                  <c:v>1179.75</c:v>
                </c:pt>
                <c:pt idx="39">
                  <c:v>1285.625</c:v>
                </c:pt>
                <c:pt idx="40">
                  <c:v>1057.5</c:v>
                </c:pt>
                <c:pt idx="42">
                  <c:v>2378.25</c:v>
                </c:pt>
                <c:pt idx="43">
                  <c:v>3196</c:v>
                </c:pt>
                <c:pt idx="44">
                  <c:v>1742.6999999999998</c:v>
                </c:pt>
                <c:pt idx="45">
                  <c:v>1239.3000000000002</c:v>
                </c:pt>
                <c:pt idx="46">
                  <c:v>1137.3</c:v>
                </c:pt>
                <c:pt idx="47">
                  <c:v>1059.3000000000002</c:v>
                </c:pt>
                <c:pt idx="49">
                  <c:v>4286.4000000000005</c:v>
                </c:pt>
                <c:pt idx="50">
                  <c:v>1528.8</c:v>
                </c:pt>
                <c:pt idx="51">
                  <c:v>1815.6000000000001</c:v>
                </c:pt>
                <c:pt idx="52">
                  <c:v>1270.4999999999998</c:v>
                </c:pt>
                <c:pt idx="53">
                  <c:v>640.49999999999989</c:v>
                </c:pt>
                <c:pt idx="54">
                  <c:v>688.8</c:v>
                </c:pt>
                <c:pt idx="56">
                  <c:v>1272.5999999999999</c:v>
                </c:pt>
                <c:pt idx="57">
                  <c:v>1919.1499999999996</c:v>
                </c:pt>
                <c:pt idx="58">
                  <c:v>772.8</c:v>
                </c:pt>
                <c:pt idx="59">
                  <c:v>1024.8</c:v>
                </c:pt>
                <c:pt idx="60">
                  <c:v>1024.8</c:v>
                </c:pt>
                <c:pt idx="61">
                  <c:v>1192.8</c:v>
                </c:pt>
                <c:pt idx="63">
                  <c:v>2181.6</c:v>
                </c:pt>
                <c:pt idx="64">
                  <c:v>2293.1999999999998</c:v>
                </c:pt>
                <c:pt idx="65">
                  <c:v>1672.5</c:v>
                </c:pt>
                <c:pt idx="66">
                  <c:v>1222.5</c:v>
                </c:pt>
                <c:pt idx="67">
                  <c:v>772.5</c:v>
                </c:pt>
                <c:pt idx="68">
                  <c:v>997.5</c:v>
                </c:pt>
                <c:pt idx="70">
                  <c:v>1528.2</c:v>
                </c:pt>
                <c:pt idx="71">
                  <c:v>1235.25</c:v>
                </c:pt>
                <c:pt idx="72">
                  <c:v>2661.75</c:v>
                </c:pt>
                <c:pt idx="73">
                  <c:v>1822.5</c:v>
                </c:pt>
                <c:pt idx="74">
                  <c:v>922.5</c:v>
                </c:pt>
                <c:pt idx="75">
                  <c:v>622.5</c:v>
                </c:pt>
                <c:pt idx="77">
                  <c:v>1218</c:v>
                </c:pt>
                <c:pt idx="78">
                  <c:v>1183.5</c:v>
                </c:pt>
                <c:pt idx="79">
                  <c:v>697.5</c:v>
                </c:pt>
                <c:pt idx="80">
                  <c:v>922.5</c:v>
                </c:pt>
                <c:pt idx="81">
                  <c:v>1291.5</c:v>
                </c:pt>
                <c:pt idx="82">
                  <c:v>1072.5</c:v>
                </c:pt>
                <c:pt idx="84">
                  <c:v>2964</c:v>
                </c:pt>
                <c:pt idx="85">
                  <c:v>2671.5</c:v>
                </c:pt>
                <c:pt idx="86">
                  <c:v>1680.0000000000005</c:v>
                </c:pt>
                <c:pt idx="87">
                  <c:v>1230.0000000000002</c:v>
                </c:pt>
                <c:pt idx="88">
                  <c:v>936.00000000000011</c:v>
                </c:pt>
                <c:pt idx="89">
                  <c:v>1105.5</c:v>
                </c:pt>
                <c:pt idx="91">
                  <c:v>2130.0000000000005</c:v>
                </c:pt>
                <c:pt idx="92">
                  <c:v>1380.0000000000002</c:v>
                </c:pt>
                <c:pt idx="93">
                  <c:v>2671.5</c:v>
                </c:pt>
                <c:pt idx="94">
                  <c:v>1891</c:v>
                </c:pt>
                <c:pt idx="95">
                  <c:v>930.00000000000011</c:v>
                </c:pt>
                <c:pt idx="96">
                  <c:v>630.00000000000011</c:v>
                </c:pt>
                <c:pt idx="98">
                  <c:v>1070.9999999999995</c:v>
                </c:pt>
                <c:pt idx="99">
                  <c:v>1683.0000000000002</c:v>
                </c:pt>
                <c:pt idx="100">
                  <c:v>705.00000000000011</c:v>
                </c:pt>
                <c:pt idx="101">
                  <c:v>1209</c:v>
                </c:pt>
                <c:pt idx="102">
                  <c:v>1317.5</c:v>
                </c:pt>
                <c:pt idx="103">
                  <c:v>1080</c:v>
                </c:pt>
                <c:pt idx="105">
                  <c:v>2401.875</c:v>
                </c:pt>
                <c:pt idx="106">
                  <c:v>3231.25</c:v>
                </c:pt>
                <c:pt idx="107">
                  <c:v>1766.25</c:v>
                </c:pt>
                <c:pt idx="108">
                  <c:v>1262.25</c:v>
                </c:pt>
                <c:pt idx="109">
                  <c:v>1170.75</c:v>
                </c:pt>
                <c:pt idx="110">
                  <c:v>1083.375</c:v>
                </c:pt>
                <c:pt idx="112">
                  <c:v>4332</c:v>
                </c:pt>
                <c:pt idx="113">
                  <c:v>1554</c:v>
                </c:pt>
                <c:pt idx="114">
                  <c:v>1835.625</c:v>
                </c:pt>
                <c:pt idx="115">
                  <c:v>1286.25</c:v>
                </c:pt>
                <c:pt idx="116">
                  <c:v>656.25</c:v>
                </c:pt>
                <c:pt idx="117">
                  <c:v>713.99999999999989</c:v>
                </c:pt>
                <c:pt idx="119">
                  <c:v>1291.5</c:v>
                </c:pt>
                <c:pt idx="120">
                  <c:v>1941.125</c:v>
                </c:pt>
                <c:pt idx="121">
                  <c:v>798</c:v>
                </c:pt>
                <c:pt idx="122">
                  <c:v>1050</c:v>
                </c:pt>
                <c:pt idx="123">
                  <c:v>1050</c:v>
                </c:pt>
                <c:pt idx="124">
                  <c:v>1218</c:v>
                </c:pt>
                <c:pt idx="126">
                  <c:v>2276.6400000000003</c:v>
                </c:pt>
                <c:pt idx="127">
                  <c:v>2384.64</c:v>
                </c:pt>
                <c:pt idx="128">
                  <c:v>1762.8000000000002</c:v>
                </c:pt>
                <c:pt idx="129">
                  <c:v>1294.8000000000002</c:v>
                </c:pt>
                <c:pt idx="130">
                  <c:v>826.80000000000007</c:v>
                </c:pt>
                <c:pt idx="131">
                  <c:v>1060.8</c:v>
                </c:pt>
                <c:pt idx="133">
                  <c:v>1613.0400000000002</c:v>
                </c:pt>
                <c:pt idx="134">
                  <c:v>1283.4000000000001</c:v>
                </c:pt>
                <c:pt idx="135">
                  <c:v>2773.8</c:v>
                </c:pt>
                <c:pt idx="136">
                  <c:v>1918.8</c:v>
                </c:pt>
                <c:pt idx="137">
                  <c:v>982.8</c:v>
                </c:pt>
                <c:pt idx="138">
                  <c:v>670.8</c:v>
                </c:pt>
                <c:pt idx="140">
                  <c:v>1285.44</c:v>
                </c:pt>
                <c:pt idx="141">
                  <c:v>1244.8799999999999</c:v>
                </c:pt>
                <c:pt idx="142">
                  <c:v>748.80000000000007</c:v>
                </c:pt>
                <c:pt idx="143">
                  <c:v>982.8</c:v>
                </c:pt>
                <c:pt idx="144">
                  <c:v>1360.8</c:v>
                </c:pt>
                <c:pt idx="145">
                  <c:v>1138.8</c:v>
                </c:pt>
                <c:pt idx="147">
                  <c:v>3039.3</c:v>
                </c:pt>
                <c:pt idx="148">
                  <c:v>2742.3</c:v>
                </c:pt>
                <c:pt idx="149">
                  <c:v>1759.2500000000005</c:v>
                </c:pt>
                <c:pt idx="150">
                  <c:v>1294.2500000000002</c:v>
                </c:pt>
                <c:pt idx="151">
                  <c:v>995.10000000000025</c:v>
                </c:pt>
                <c:pt idx="152">
                  <c:v>1143.95</c:v>
                </c:pt>
                <c:pt idx="154">
                  <c:v>2224.2500000000005</c:v>
                </c:pt>
                <c:pt idx="155">
                  <c:v>1449.2500000000002</c:v>
                </c:pt>
                <c:pt idx="156">
                  <c:v>2742.3</c:v>
                </c:pt>
                <c:pt idx="157">
                  <c:v>1938.9499999999998</c:v>
                </c:pt>
                <c:pt idx="158">
                  <c:v>984.25000000000011</c:v>
                </c:pt>
                <c:pt idx="159">
                  <c:v>674.25000000000011</c:v>
                </c:pt>
                <c:pt idx="161">
                  <c:v>1117.7999999999997</c:v>
                </c:pt>
                <c:pt idx="162">
                  <c:v>1728.825</c:v>
                </c:pt>
                <c:pt idx="163">
                  <c:v>751.75000000000011</c:v>
                </c:pt>
                <c:pt idx="164">
                  <c:v>1257.3000000000002</c:v>
                </c:pt>
                <c:pt idx="165">
                  <c:v>1381.125</c:v>
                </c:pt>
                <c:pt idx="166">
                  <c:v>1139.2500000000002</c:v>
                </c:pt>
                <c:pt idx="168">
                  <c:v>2494.8000000000002</c:v>
                </c:pt>
                <c:pt idx="169">
                  <c:v>3308.2000000000003</c:v>
                </c:pt>
                <c:pt idx="170">
                  <c:v>1817.1600000000003</c:v>
                </c:pt>
                <c:pt idx="171">
                  <c:v>1305.3599999999999</c:v>
                </c:pt>
                <c:pt idx="172">
                  <c:v>1217.1600000000001</c:v>
                </c:pt>
                <c:pt idx="173">
                  <c:v>1124.01</c:v>
                </c:pt>
                <c:pt idx="175">
                  <c:v>4446.72</c:v>
                </c:pt>
                <c:pt idx="176">
                  <c:v>1646.88</c:v>
                </c:pt>
                <c:pt idx="177">
                  <c:v>1918.2</c:v>
                </c:pt>
                <c:pt idx="178">
                  <c:v>1357.8</c:v>
                </c:pt>
                <c:pt idx="179">
                  <c:v>700.8</c:v>
                </c:pt>
                <c:pt idx="180">
                  <c:v>770.87999999999988</c:v>
                </c:pt>
                <c:pt idx="182">
                  <c:v>1366.56</c:v>
                </c:pt>
                <c:pt idx="183">
                  <c:v>2003.2999999999997</c:v>
                </c:pt>
                <c:pt idx="184">
                  <c:v>858.4799999999999</c:v>
                </c:pt>
                <c:pt idx="185">
                  <c:v>1121.28</c:v>
                </c:pt>
                <c:pt idx="186">
                  <c:v>1121.28</c:v>
                </c:pt>
                <c:pt idx="187">
                  <c:v>1296.48</c:v>
                </c:pt>
                <c:pt idx="189">
                  <c:v>2336.04</c:v>
                </c:pt>
                <c:pt idx="190">
                  <c:v>2444.04</c:v>
                </c:pt>
                <c:pt idx="191">
                  <c:v>1820.5500000000002</c:v>
                </c:pt>
                <c:pt idx="192">
                  <c:v>1343.5500000000002</c:v>
                </c:pt>
                <c:pt idx="193">
                  <c:v>866.55000000000007</c:v>
                </c:pt>
                <c:pt idx="194">
                  <c:v>1105.05</c:v>
                </c:pt>
                <c:pt idx="196">
                  <c:v>1664.6399999999999</c:v>
                </c:pt>
                <c:pt idx="197">
                  <c:v>1318.2750000000001</c:v>
                </c:pt>
                <c:pt idx="198">
                  <c:v>2845.8</c:v>
                </c:pt>
                <c:pt idx="199">
                  <c:v>1979.55</c:v>
                </c:pt>
                <c:pt idx="200">
                  <c:v>1025.5500000000002</c:v>
                </c:pt>
                <c:pt idx="201">
                  <c:v>707.55000000000007</c:v>
                </c:pt>
                <c:pt idx="203">
                  <c:v>1329.2400000000002</c:v>
                </c:pt>
                <c:pt idx="204">
                  <c:v>1283.1299999999999</c:v>
                </c:pt>
                <c:pt idx="205">
                  <c:v>787.05000000000007</c:v>
                </c:pt>
                <c:pt idx="206">
                  <c:v>1025.5500000000002</c:v>
                </c:pt>
                <c:pt idx="207">
                  <c:v>1412.5500000000002</c:v>
                </c:pt>
                <c:pt idx="208">
                  <c:v>1184.55</c:v>
                </c:pt>
                <c:pt idx="210">
                  <c:v>3115.5</c:v>
                </c:pt>
                <c:pt idx="211">
                  <c:v>2814.0000000000005</c:v>
                </c:pt>
                <c:pt idx="212">
                  <c:v>1840.0000000000002</c:v>
                </c:pt>
                <c:pt idx="213">
                  <c:v>1360.0000000000002</c:v>
                </c:pt>
                <c:pt idx="214">
                  <c:v>1056.0000000000002</c:v>
                </c:pt>
                <c:pt idx="215">
                  <c:v>1183</c:v>
                </c:pt>
                <c:pt idx="217">
                  <c:v>2320.0000000000005</c:v>
                </c:pt>
                <c:pt idx="218">
                  <c:v>1520.0000000000002</c:v>
                </c:pt>
                <c:pt idx="219">
                  <c:v>2814.0000000000005</c:v>
                </c:pt>
                <c:pt idx="220">
                  <c:v>1987.5</c:v>
                </c:pt>
                <c:pt idx="221">
                  <c:v>1040.0000000000002</c:v>
                </c:pt>
                <c:pt idx="222">
                  <c:v>720.00000000000011</c:v>
                </c:pt>
                <c:pt idx="224">
                  <c:v>1165.4999999999998</c:v>
                </c:pt>
                <c:pt idx="225">
                  <c:v>1775.2500000000002</c:v>
                </c:pt>
                <c:pt idx="226">
                  <c:v>800.00000000000023</c:v>
                </c:pt>
                <c:pt idx="227">
                  <c:v>1306.5</c:v>
                </c:pt>
                <c:pt idx="228">
                  <c:v>1446.25</c:v>
                </c:pt>
                <c:pt idx="229">
                  <c:v>1200.0000000000002</c:v>
                </c:pt>
                <c:pt idx="231">
                  <c:v>2565.75</c:v>
                </c:pt>
                <c:pt idx="232">
                  <c:v>3372</c:v>
                </c:pt>
                <c:pt idx="233">
                  <c:v>1859.5500000000002</c:v>
                </c:pt>
                <c:pt idx="234">
                  <c:v>1342.35</c:v>
                </c:pt>
                <c:pt idx="235">
                  <c:v>1259.8499999999999</c:v>
                </c:pt>
                <c:pt idx="236">
                  <c:v>1159.7250000000001</c:v>
                </c:pt>
                <c:pt idx="238">
                  <c:v>4539.6000000000004</c:v>
                </c:pt>
                <c:pt idx="239">
                  <c:v>1719</c:v>
                </c:pt>
                <c:pt idx="240">
                  <c:v>1981.0500000000002</c:v>
                </c:pt>
                <c:pt idx="241">
                  <c:v>1411.875</c:v>
                </c:pt>
                <c:pt idx="242">
                  <c:v>736.875</c:v>
                </c:pt>
                <c:pt idx="243">
                  <c:v>819</c:v>
                </c:pt>
                <c:pt idx="245">
                  <c:v>1424.25</c:v>
                </c:pt>
                <c:pt idx="246">
                  <c:v>2052.8249999999998</c:v>
                </c:pt>
                <c:pt idx="247">
                  <c:v>909</c:v>
                </c:pt>
                <c:pt idx="248">
                  <c:v>1179</c:v>
                </c:pt>
                <c:pt idx="249">
                  <c:v>1179</c:v>
                </c:pt>
                <c:pt idx="250">
                  <c:v>1359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4D-4F2A-8128-06C2A8F1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339192"/>
        <c:axId val="556339848"/>
      </c:scatterChart>
      <c:valAx>
        <c:axId val="556339192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39848"/>
        <c:crosses val="autoZero"/>
        <c:crossBetween val="midCat"/>
        <c:majorUnit val="1"/>
      </c:valAx>
      <c:valAx>
        <c:axId val="556339848"/>
        <c:scaling>
          <c:orientation val="minMax"/>
          <c:max val="4000"/>
          <c:min val="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6339192"/>
        <c:crosses val="autoZero"/>
        <c:crossBetween val="midCat"/>
        <c:majorUnit val="2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%</a:t>
            </a:r>
          </a:p>
        </c:rich>
      </c:tx>
      <c:layout>
        <c:manualLayout>
          <c:xMode val="edge"/>
          <c:yMode val="edge"/>
          <c:x val="0.48188976377952758"/>
          <c:y val="3.46320346320346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'T1'!$I$4:$I$244</c:f>
              <c:numCache>
                <c:formatCode>0%</c:formatCode>
                <c:ptCount val="241"/>
                <c:pt idx="0">
                  <c:v>0.45</c:v>
                </c:pt>
                <c:pt idx="1">
                  <c:v>0.45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</c:v>
                </c:pt>
                <c:pt idx="7">
                  <c:v>0.45</c:v>
                </c:pt>
                <c:pt idx="8">
                  <c:v>0.5</c:v>
                </c:pt>
                <c:pt idx="9">
                  <c:v>0.45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1">
                  <c:v>0.60000000000000009</c:v>
                </c:pt>
                <c:pt idx="22">
                  <c:v>0.60000000000000009</c:v>
                </c:pt>
                <c:pt idx="23">
                  <c:v>0.60000000000000009</c:v>
                </c:pt>
                <c:pt idx="24">
                  <c:v>0.60000000000000009</c:v>
                </c:pt>
                <c:pt idx="25">
                  <c:v>0.60000000000000009</c:v>
                </c:pt>
                <c:pt idx="26">
                  <c:v>0.60000000000000009</c:v>
                </c:pt>
                <c:pt idx="27">
                  <c:v>0</c:v>
                </c:pt>
                <c:pt idx="28">
                  <c:v>0.6</c:v>
                </c:pt>
                <c:pt idx="29">
                  <c:v>0.60000000000000009</c:v>
                </c:pt>
                <c:pt idx="30">
                  <c:v>0.60000000000000009</c:v>
                </c:pt>
                <c:pt idx="31">
                  <c:v>0.5</c:v>
                </c:pt>
                <c:pt idx="32">
                  <c:v>0.60000000000000009</c:v>
                </c:pt>
                <c:pt idx="33">
                  <c:v>0.60000000000000009</c:v>
                </c:pt>
                <c:pt idx="34">
                  <c:v>0</c:v>
                </c:pt>
                <c:pt idx="35">
                  <c:v>0.69999999999999984</c:v>
                </c:pt>
                <c:pt idx="36">
                  <c:v>0.60000000000000009</c:v>
                </c:pt>
                <c:pt idx="37">
                  <c:v>0.60000000000000009</c:v>
                </c:pt>
                <c:pt idx="38">
                  <c:v>0.60000000000000009</c:v>
                </c:pt>
                <c:pt idx="39">
                  <c:v>0.85</c:v>
                </c:pt>
                <c:pt idx="40">
                  <c:v>0.60000000000000009</c:v>
                </c:pt>
                <c:pt idx="42">
                  <c:v>0.60000000000000009</c:v>
                </c:pt>
                <c:pt idx="43">
                  <c:v>0.65000000000000013</c:v>
                </c:pt>
                <c:pt idx="44">
                  <c:v>0.65000000000000013</c:v>
                </c:pt>
                <c:pt idx="45">
                  <c:v>0.60000000000000009</c:v>
                </c:pt>
                <c:pt idx="46">
                  <c:v>0.60000000000000009</c:v>
                </c:pt>
                <c:pt idx="47">
                  <c:v>0.60000000000000009</c:v>
                </c:pt>
                <c:pt idx="48">
                  <c:v>0</c:v>
                </c:pt>
                <c:pt idx="49">
                  <c:v>0.65000000000000013</c:v>
                </c:pt>
                <c:pt idx="50">
                  <c:v>0.7</c:v>
                </c:pt>
                <c:pt idx="51">
                  <c:v>0.5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</c:v>
                </c:pt>
                <c:pt idx="56">
                  <c:v>0.7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0.7</c:v>
                </c:pt>
                <c:pt idx="61">
                  <c:v>0.7</c:v>
                </c:pt>
                <c:pt idx="63">
                  <c:v>0.45</c:v>
                </c:pt>
                <c:pt idx="64">
                  <c:v>0.45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70">
                  <c:v>0.45</c:v>
                </c:pt>
                <c:pt idx="71">
                  <c:v>0.5</c:v>
                </c:pt>
                <c:pt idx="72">
                  <c:v>0.45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4">
                  <c:v>0.60000000000000009</c:v>
                </c:pt>
                <c:pt idx="85">
                  <c:v>0.60000000000000009</c:v>
                </c:pt>
                <c:pt idx="86">
                  <c:v>0.60000000000000009</c:v>
                </c:pt>
                <c:pt idx="87">
                  <c:v>0.60000000000000009</c:v>
                </c:pt>
                <c:pt idx="88">
                  <c:v>0.60000000000000009</c:v>
                </c:pt>
                <c:pt idx="89">
                  <c:v>0.60000000000000009</c:v>
                </c:pt>
                <c:pt idx="90">
                  <c:v>0</c:v>
                </c:pt>
                <c:pt idx="91">
                  <c:v>0.60000000000000009</c:v>
                </c:pt>
                <c:pt idx="92">
                  <c:v>0.60000000000000009</c:v>
                </c:pt>
                <c:pt idx="93">
                  <c:v>0.60000000000000009</c:v>
                </c:pt>
                <c:pt idx="94">
                  <c:v>0.5</c:v>
                </c:pt>
                <c:pt idx="95">
                  <c:v>0.60000000000000009</c:v>
                </c:pt>
                <c:pt idx="96">
                  <c:v>0.60000000000000009</c:v>
                </c:pt>
                <c:pt idx="97">
                  <c:v>0</c:v>
                </c:pt>
                <c:pt idx="98">
                  <c:v>0.69999999999999984</c:v>
                </c:pt>
                <c:pt idx="99">
                  <c:v>0.60000000000000009</c:v>
                </c:pt>
                <c:pt idx="100">
                  <c:v>0.60000000000000009</c:v>
                </c:pt>
                <c:pt idx="101">
                  <c:v>0.60000000000000009</c:v>
                </c:pt>
                <c:pt idx="102">
                  <c:v>0.85</c:v>
                </c:pt>
                <c:pt idx="103">
                  <c:v>0.60000000000000009</c:v>
                </c:pt>
                <c:pt idx="105">
                  <c:v>0.60000000000000009</c:v>
                </c:pt>
                <c:pt idx="106">
                  <c:v>0.65000000000000013</c:v>
                </c:pt>
                <c:pt idx="107">
                  <c:v>0.65000000000000013</c:v>
                </c:pt>
                <c:pt idx="108">
                  <c:v>0.60000000000000009</c:v>
                </c:pt>
                <c:pt idx="109">
                  <c:v>0.60000000000000009</c:v>
                </c:pt>
                <c:pt idx="110">
                  <c:v>0.60000000000000009</c:v>
                </c:pt>
                <c:pt idx="111">
                  <c:v>0</c:v>
                </c:pt>
                <c:pt idx="112">
                  <c:v>0.65000000000000013</c:v>
                </c:pt>
                <c:pt idx="113">
                  <c:v>0.7</c:v>
                </c:pt>
                <c:pt idx="114">
                  <c:v>0.5</c:v>
                </c:pt>
                <c:pt idx="115">
                  <c:v>0.7</c:v>
                </c:pt>
                <c:pt idx="116">
                  <c:v>0.7</c:v>
                </c:pt>
                <c:pt idx="117">
                  <c:v>0.7</c:v>
                </c:pt>
                <c:pt idx="118">
                  <c:v>0</c:v>
                </c:pt>
                <c:pt idx="119">
                  <c:v>0.7</c:v>
                </c:pt>
                <c:pt idx="120">
                  <c:v>0.7</c:v>
                </c:pt>
                <c:pt idx="121">
                  <c:v>0.7</c:v>
                </c:pt>
                <c:pt idx="122">
                  <c:v>0.7</c:v>
                </c:pt>
                <c:pt idx="123">
                  <c:v>0.7</c:v>
                </c:pt>
                <c:pt idx="124">
                  <c:v>0.7</c:v>
                </c:pt>
                <c:pt idx="126">
                  <c:v>0.47000000000000003</c:v>
                </c:pt>
                <c:pt idx="127">
                  <c:v>0.47000000000000003</c:v>
                </c:pt>
                <c:pt idx="128">
                  <c:v>0.52</c:v>
                </c:pt>
                <c:pt idx="129">
                  <c:v>0.52</c:v>
                </c:pt>
                <c:pt idx="130">
                  <c:v>0.52</c:v>
                </c:pt>
                <c:pt idx="131">
                  <c:v>0.52</c:v>
                </c:pt>
                <c:pt idx="132">
                  <c:v>0.02</c:v>
                </c:pt>
                <c:pt idx="133">
                  <c:v>0.47000000000000003</c:v>
                </c:pt>
                <c:pt idx="134">
                  <c:v>0.52</c:v>
                </c:pt>
                <c:pt idx="135">
                  <c:v>0.47000000000000003</c:v>
                </c:pt>
                <c:pt idx="136">
                  <c:v>0.52</c:v>
                </c:pt>
                <c:pt idx="137">
                  <c:v>0.52</c:v>
                </c:pt>
                <c:pt idx="138">
                  <c:v>0.52</c:v>
                </c:pt>
                <c:pt idx="139">
                  <c:v>0.02</c:v>
                </c:pt>
                <c:pt idx="140">
                  <c:v>0.52</c:v>
                </c:pt>
                <c:pt idx="141">
                  <c:v>0.52</c:v>
                </c:pt>
                <c:pt idx="142">
                  <c:v>0.52</c:v>
                </c:pt>
                <c:pt idx="143">
                  <c:v>0.52</c:v>
                </c:pt>
                <c:pt idx="144">
                  <c:v>0.52</c:v>
                </c:pt>
                <c:pt idx="145">
                  <c:v>0.52</c:v>
                </c:pt>
                <c:pt idx="147">
                  <c:v>0.62000000000000011</c:v>
                </c:pt>
                <c:pt idx="148">
                  <c:v>0.62000000000000011</c:v>
                </c:pt>
                <c:pt idx="149">
                  <c:v>0.62000000000000011</c:v>
                </c:pt>
                <c:pt idx="150">
                  <c:v>0.62000000000000011</c:v>
                </c:pt>
                <c:pt idx="151">
                  <c:v>0.62000000000000011</c:v>
                </c:pt>
                <c:pt idx="152">
                  <c:v>0.62000000000000011</c:v>
                </c:pt>
                <c:pt idx="153">
                  <c:v>0.02</c:v>
                </c:pt>
                <c:pt idx="154">
                  <c:v>0.62000000000000011</c:v>
                </c:pt>
                <c:pt idx="155">
                  <c:v>0.62000000000000011</c:v>
                </c:pt>
                <c:pt idx="156">
                  <c:v>0.62000000000000011</c:v>
                </c:pt>
                <c:pt idx="157">
                  <c:v>0.52</c:v>
                </c:pt>
                <c:pt idx="158">
                  <c:v>0.62000000000000011</c:v>
                </c:pt>
                <c:pt idx="159">
                  <c:v>0.62000000000000011</c:v>
                </c:pt>
                <c:pt idx="160">
                  <c:v>0.02</c:v>
                </c:pt>
                <c:pt idx="161">
                  <c:v>0.71999999999999986</c:v>
                </c:pt>
                <c:pt idx="162">
                  <c:v>0.62000000000000011</c:v>
                </c:pt>
                <c:pt idx="163">
                  <c:v>0.62000000000000011</c:v>
                </c:pt>
                <c:pt idx="164">
                  <c:v>0.62000000000000011</c:v>
                </c:pt>
                <c:pt idx="165">
                  <c:v>0.87</c:v>
                </c:pt>
                <c:pt idx="166">
                  <c:v>0.62000000000000011</c:v>
                </c:pt>
                <c:pt idx="168">
                  <c:v>0.63000000000000012</c:v>
                </c:pt>
                <c:pt idx="169">
                  <c:v>0.68000000000000016</c:v>
                </c:pt>
                <c:pt idx="170">
                  <c:v>0.68000000000000016</c:v>
                </c:pt>
                <c:pt idx="171">
                  <c:v>0.63000000000000012</c:v>
                </c:pt>
                <c:pt idx="172">
                  <c:v>0.63000000000000012</c:v>
                </c:pt>
                <c:pt idx="173">
                  <c:v>0.63000000000000012</c:v>
                </c:pt>
                <c:pt idx="174">
                  <c:v>0.03</c:v>
                </c:pt>
                <c:pt idx="175">
                  <c:v>0.68000000000000016</c:v>
                </c:pt>
                <c:pt idx="176">
                  <c:v>0.73</c:v>
                </c:pt>
                <c:pt idx="177">
                  <c:v>0.53</c:v>
                </c:pt>
                <c:pt idx="178">
                  <c:v>0.73</c:v>
                </c:pt>
                <c:pt idx="179">
                  <c:v>0.73</c:v>
                </c:pt>
                <c:pt idx="180">
                  <c:v>0.73</c:v>
                </c:pt>
                <c:pt idx="181">
                  <c:v>0.03</c:v>
                </c:pt>
                <c:pt idx="182">
                  <c:v>0.73</c:v>
                </c:pt>
                <c:pt idx="183">
                  <c:v>0.73</c:v>
                </c:pt>
                <c:pt idx="184">
                  <c:v>0.73</c:v>
                </c:pt>
                <c:pt idx="185">
                  <c:v>0.73</c:v>
                </c:pt>
                <c:pt idx="186">
                  <c:v>0.73</c:v>
                </c:pt>
                <c:pt idx="187">
                  <c:v>0.73</c:v>
                </c:pt>
                <c:pt idx="189">
                  <c:v>0.48000000000000004</c:v>
                </c:pt>
                <c:pt idx="190">
                  <c:v>0.48000000000000004</c:v>
                </c:pt>
                <c:pt idx="191">
                  <c:v>0.53</c:v>
                </c:pt>
                <c:pt idx="192">
                  <c:v>0.53</c:v>
                </c:pt>
                <c:pt idx="193">
                  <c:v>0.53</c:v>
                </c:pt>
                <c:pt idx="194">
                  <c:v>0.53</c:v>
                </c:pt>
                <c:pt idx="195">
                  <c:v>0.03</c:v>
                </c:pt>
                <c:pt idx="196">
                  <c:v>0.48000000000000004</c:v>
                </c:pt>
                <c:pt idx="197">
                  <c:v>0.53</c:v>
                </c:pt>
                <c:pt idx="198">
                  <c:v>0.48000000000000004</c:v>
                </c:pt>
                <c:pt idx="199">
                  <c:v>0.53</c:v>
                </c:pt>
                <c:pt idx="200">
                  <c:v>0.53</c:v>
                </c:pt>
                <c:pt idx="201">
                  <c:v>0.53</c:v>
                </c:pt>
                <c:pt idx="202">
                  <c:v>0.03</c:v>
                </c:pt>
                <c:pt idx="203">
                  <c:v>0.53</c:v>
                </c:pt>
                <c:pt idx="204">
                  <c:v>0.53</c:v>
                </c:pt>
                <c:pt idx="205">
                  <c:v>0.53</c:v>
                </c:pt>
                <c:pt idx="206">
                  <c:v>0.53</c:v>
                </c:pt>
                <c:pt idx="207">
                  <c:v>0.53</c:v>
                </c:pt>
                <c:pt idx="208">
                  <c:v>0.53</c:v>
                </c:pt>
                <c:pt idx="209" formatCode="0">
                  <c:v>0.04</c:v>
                </c:pt>
                <c:pt idx="210">
                  <c:v>0.64000000000000012</c:v>
                </c:pt>
                <c:pt idx="211">
                  <c:v>0.64000000000000012</c:v>
                </c:pt>
                <c:pt idx="212">
                  <c:v>0.64000000000000012</c:v>
                </c:pt>
                <c:pt idx="213">
                  <c:v>0.64000000000000012</c:v>
                </c:pt>
                <c:pt idx="214">
                  <c:v>0.64000000000000012</c:v>
                </c:pt>
                <c:pt idx="215">
                  <c:v>0.64000000000000012</c:v>
                </c:pt>
                <c:pt idx="216">
                  <c:v>0.04</c:v>
                </c:pt>
                <c:pt idx="217">
                  <c:v>0.64000000000000012</c:v>
                </c:pt>
                <c:pt idx="218">
                  <c:v>0.64000000000000012</c:v>
                </c:pt>
                <c:pt idx="219">
                  <c:v>0.64000000000000012</c:v>
                </c:pt>
                <c:pt idx="220">
                  <c:v>0.54</c:v>
                </c:pt>
                <c:pt idx="221">
                  <c:v>0.64000000000000012</c:v>
                </c:pt>
                <c:pt idx="222">
                  <c:v>0.64000000000000012</c:v>
                </c:pt>
                <c:pt idx="223">
                  <c:v>0.04</c:v>
                </c:pt>
                <c:pt idx="224">
                  <c:v>0.73999999999999988</c:v>
                </c:pt>
                <c:pt idx="225">
                  <c:v>0.64000000000000012</c:v>
                </c:pt>
                <c:pt idx="226">
                  <c:v>0.64000000000000012</c:v>
                </c:pt>
                <c:pt idx="227">
                  <c:v>0.64000000000000012</c:v>
                </c:pt>
                <c:pt idx="228">
                  <c:v>0.89</c:v>
                </c:pt>
                <c:pt idx="229">
                  <c:v>0.64000000000000012</c:v>
                </c:pt>
                <c:pt idx="231">
                  <c:v>0.65000000000000013</c:v>
                </c:pt>
                <c:pt idx="232">
                  <c:v>0.70000000000000018</c:v>
                </c:pt>
                <c:pt idx="233">
                  <c:v>0.70000000000000018</c:v>
                </c:pt>
                <c:pt idx="234">
                  <c:v>0.65000000000000013</c:v>
                </c:pt>
                <c:pt idx="235">
                  <c:v>0.65000000000000013</c:v>
                </c:pt>
                <c:pt idx="236">
                  <c:v>0.65000000000000013</c:v>
                </c:pt>
                <c:pt idx="237">
                  <c:v>0.05</c:v>
                </c:pt>
                <c:pt idx="238">
                  <c:v>0.70000000000000018</c:v>
                </c:pt>
                <c:pt idx="239">
                  <c:v>0.75</c:v>
                </c:pt>
                <c:pt idx="240">
                  <c:v>0.55000000000000004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18-4044-B89A-C8C05FFA9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38728"/>
        <c:axId val="638835448"/>
      </c:scatterChart>
      <c:valAx>
        <c:axId val="6388387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8835448"/>
        <c:crosses val="autoZero"/>
        <c:crossBetween val="midCat"/>
        <c:majorUnit val="1"/>
      </c:valAx>
      <c:valAx>
        <c:axId val="638835448"/>
        <c:scaling>
          <c:orientation val="minMax"/>
          <c:max val="0.9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8838728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Tagebuch/Verfassung</a:t>
            </a:r>
          </a:p>
        </c:rich>
      </c:tx>
      <c:layout>
        <c:manualLayout>
          <c:xMode val="edge"/>
          <c:yMode val="edge"/>
          <c:x val="3.46004058887966E-3"/>
          <c:y val="2.249072314236582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511110484705574"/>
          <c:y val="0.2131610160019079"/>
          <c:w val="0.83074279488216451"/>
          <c:h val="0.65351554598404649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('T3'!$A$4,'T3'!$C$4,'T3'!$E$4,'T3'!$G$4,'T3'!$I$4,'T3'!$K$4,'T3'!$M$4,'T3'!$O$4,'T3'!$Q$4,'T3'!$S$4,'T3'!$U$4,'T3'!$W$4)</c:f>
              <c:numCache>
                <c:formatCode>0.0</c:formatCode>
                <c:ptCount val="12"/>
                <c:pt idx="0">
                  <c:v>7.666666666666667</c:v>
                </c:pt>
                <c:pt idx="1">
                  <c:v>6.5</c:v>
                </c:pt>
                <c:pt idx="2">
                  <c:v>6.75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88-42E3-8082-1E70959D5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183192"/>
        <c:axId val="815183520"/>
      </c:scatterChart>
      <c:valAx>
        <c:axId val="81518319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15183520"/>
        <c:crosses val="autoZero"/>
        <c:crossBetween val="midCat"/>
        <c:majorUnit val="1"/>
      </c:valAx>
      <c:valAx>
        <c:axId val="815183520"/>
        <c:scaling>
          <c:orientation val="minMax"/>
          <c:max val="10"/>
          <c:min val="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15183192"/>
        <c:crosses val="autoZero"/>
        <c:crossBetween val="midCat"/>
        <c:majorUnit val="0.5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3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12" Type="http://schemas.openxmlformats.org/officeDocument/2006/relationships/image" Target="../media/image4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1.emf"/><Relationship Id="rId10" Type="http://schemas.openxmlformats.org/officeDocument/2006/relationships/image" Target="../media/image6.emf"/><Relationship Id="rId4" Type="http://schemas.openxmlformats.org/officeDocument/2006/relationships/image" Target="../media/image12.emf"/><Relationship Id="rId9" Type="http://schemas.openxmlformats.org/officeDocument/2006/relationships/image" Target="../media/image7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38101</xdr:rowOff>
    </xdr:from>
    <xdr:to>
      <xdr:col>5</xdr:col>
      <xdr:colOff>590550</xdr:colOff>
      <xdr:row>11</xdr:row>
      <xdr:rowOff>38100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85726</xdr:colOff>
      <xdr:row>11</xdr:row>
      <xdr:rowOff>47064</xdr:rowOff>
    </xdr:from>
    <xdr:to>
      <xdr:col>5</xdr:col>
      <xdr:colOff>581025</xdr:colOff>
      <xdr:row>19</xdr:row>
      <xdr:rowOff>104775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57149</xdr:colOff>
      <xdr:row>19</xdr:row>
      <xdr:rowOff>125507</xdr:rowOff>
    </xdr:from>
    <xdr:to>
      <xdr:col>5</xdr:col>
      <xdr:colOff>590550</xdr:colOff>
      <xdr:row>29</xdr:row>
      <xdr:rowOff>142874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0</xdr:row>
      <xdr:rowOff>0</xdr:rowOff>
    </xdr:from>
    <xdr:to>
      <xdr:col>7</xdr:col>
      <xdr:colOff>228600</xdr:colOff>
      <xdr:row>0</xdr:row>
      <xdr:rowOff>2228849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0</xdr:row>
          <xdr:rowOff>38100</xdr:rowOff>
        </xdr:from>
        <xdr:to>
          <xdr:col>27</xdr:col>
          <xdr:colOff>552450</xdr:colOff>
          <xdr:row>0</xdr:row>
          <xdr:rowOff>295275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0</xdr:row>
          <xdr:rowOff>314325</xdr:rowOff>
        </xdr:from>
        <xdr:to>
          <xdr:col>27</xdr:col>
          <xdr:colOff>561975</xdr:colOff>
          <xdr:row>0</xdr:row>
          <xdr:rowOff>600075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66675</xdr:colOff>
          <xdr:row>0</xdr:row>
          <xdr:rowOff>314325</xdr:rowOff>
        </xdr:from>
        <xdr:to>
          <xdr:col>26</xdr:col>
          <xdr:colOff>76200</xdr:colOff>
          <xdr:row>0</xdr:row>
          <xdr:rowOff>600075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</xdr:col>
      <xdr:colOff>0</xdr:colOff>
      <xdr:row>12</xdr:row>
      <xdr:rowOff>104776</xdr:rowOff>
    </xdr:from>
    <xdr:to>
      <xdr:col>32</xdr:col>
      <xdr:colOff>123825</xdr:colOff>
      <xdr:row>12</xdr:row>
      <xdr:rowOff>113109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11703844" y="4486276"/>
          <a:ext cx="254794" cy="833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131884</xdr:colOff>
      <xdr:row>3</xdr:row>
      <xdr:rowOff>102577</xdr:rowOff>
    </xdr:from>
    <xdr:to>
      <xdr:col>32</xdr:col>
      <xdr:colOff>133351</xdr:colOff>
      <xdr:row>12</xdr:row>
      <xdr:rowOff>104775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 flipV="1">
          <a:off x="11979519" y="2725615"/>
          <a:ext cx="1467" cy="1746006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5129</xdr:colOff>
      <xdr:row>3</xdr:row>
      <xdr:rowOff>112102</xdr:rowOff>
    </xdr:from>
    <xdr:to>
      <xdr:col>32</xdr:col>
      <xdr:colOff>122359</xdr:colOff>
      <xdr:row>3</xdr:row>
      <xdr:rowOff>119429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V="1">
          <a:off x="14864129" y="2731477"/>
          <a:ext cx="1498355" cy="7327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510778</xdr:colOff>
      <xdr:row>13</xdr:row>
      <xdr:rowOff>88656</xdr:rowOff>
    </xdr:from>
    <xdr:to>
      <xdr:col>32</xdr:col>
      <xdr:colOff>347296</xdr:colOff>
      <xdr:row>13</xdr:row>
      <xdr:rowOff>96441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V="1">
          <a:off x="16036528" y="4660656"/>
          <a:ext cx="550893" cy="7785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31</xdr:col>
      <xdr:colOff>7327</xdr:colOff>
      <xdr:row>14</xdr:row>
      <xdr:rowOff>95252</xdr:rowOff>
    </xdr:from>
    <xdr:to>
      <xdr:col>32</xdr:col>
      <xdr:colOff>593480</xdr:colOff>
      <xdr:row>14</xdr:row>
      <xdr:rowOff>102577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12266002" y="4857752"/>
          <a:ext cx="776653" cy="7325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352425</xdr:colOff>
      <xdr:row>4</xdr:row>
      <xdr:rowOff>87923</xdr:rowOff>
    </xdr:from>
    <xdr:to>
      <xdr:col>32</xdr:col>
      <xdr:colOff>359020</xdr:colOff>
      <xdr:row>13</xdr:row>
      <xdr:rowOff>85725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V="1">
          <a:off x="16592550" y="2907323"/>
          <a:ext cx="6595" cy="1750402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571500</xdr:colOff>
      <xdr:row>5</xdr:row>
      <xdr:rowOff>58616</xdr:rowOff>
    </xdr:from>
    <xdr:to>
      <xdr:col>32</xdr:col>
      <xdr:colOff>586888</xdr:colOff>
      <xdr:row>14</xdr:row>
      <xdr:rowOff>92319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16621125" y="3068516"/>
          <a:ext cx="15388" cy="1786303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4397</xdr:colOff>
      <xdr:row>4</xdr:row>
      <xdr:rowOff>87923</xdr:rowOff>
    </xdr:from>
    <xdr:to>
      <xdr:col>32</xdr:col>
      <xdr:colOff>359019</xdr:colOff>
      <xdr:row>4</xdr:row>
      <xdr:rowOff>98916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V="1">
          <a:off x="10643089" y="2908788"/>
          <a:ext cx="1563565" cy="10993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7327</xdr:colOff>
      <xdr:row>5</xdr:row>
      <xdr:rowOff>58617</xdr:rowOff>
    </xdr:from>
    <xdr:to>
      <xdr:col>32</xdr:col>
      <xdr:colOff>569302</xdr:colOff>
      <xdr:row>5</xdr:row>
      <xdr:rowOff>65943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V="1">
          <a:off x="10646019" y="3069982"/>
          <a:ext cx="1770918" cy="7326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231084</xdr:colOff>
      <xdr:row>0</xdr:row>
      <xdr:rowOff>9525</xdr:rowOff>
    </xdr:from>
    <xdr:to>
      <xdr:col>16</xdr:col>
      <xdr:colOff>314325</xdr:colOff>
      <xdr:row>0</xdr:row>
      <xdr:rowOff>2220981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66675</xdr:colOff>
          <xdr:row>0</xdr:row>
          <xdr:rowOff>647700</xdr:rowOff>
        </xdr:from>
        <xdr:to>
          <xdr:col>27</xdr:col>
          <xdr:colOff>561975</xdr:colOff>
          <xdr:row>0</xdr:row>
          <xdr:rowOff>1152525</xdr:rowOff>
        </xdr:to>
        <xdr:sp macro="" textlink="">
          <xdr:nvSpPr>
            <xdr:cNvPr id="1049" name="CommandButton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51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95250</xdr:colOff>
          <xdr:row>0</xdr:row>
          <xdr:rowOff>1266825</xdr:rowOff>
        </xdr:from>
        <xdr:to>
          <xdr:col>26</xdr:col>
          <xdr:colOff>571500</xdr:colOff>
          <xdr:row>0</xdr:row>
          <xdr:rowOff>1543050</xdr:rowOff>
        </xdr:to>
        <xdr:sp macro="" textlink="">
          <xdr:nvSpPr>
            <xdr:cNvPr id="1085" name="CommandButton4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0</xdr:row>
          <xdr:rowOff>1609725</xdr:rowOff>
        </xdr:from>
        <xdr:to>
          <xdr:col>25</xdr:col>
          <xdr:colOff>38100</xdr:colOff>
          <xdr:row>0</xdr:row>
          <xdr:rowOff>1876425</xdr:rowOff>
        </xdr:to>
        <xdr:sp macro="" textlink="">
          <xdr:nvSpPr>
            <xdr:cNvPr id="1087" name="CommandButton6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0</xdr:row>
          <xdr:rowOff>1609725</xdr:rowOff>
        </xdr:from>
        <xdr:to>
          <xdr:col>25</xdr:col>
          <xdr:colOff>409575</xdr:colOff>
          <xdr:row>0</xdr:row>
          <xdr:rowOff>1876425</xdr:rowOff>
        </xdr:to>
        <xdr:sp macro="" textlink="">
          <xdr:nvSpPr>
            <xdr:cNvPr id="1095" name="CommandButton5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438150</xdr:colOff>
          <xdr:row>0</xdr:row>
          <xdr:rowOff>1600200</xdr:rowOff>
        </xdr:from>
        <xdr:to>
          <xdr:col>26</xdr:col>
          <xdr:colOff>238125</xdr:colOff>
          <xdr:row>0</xdr:row>
          <xdr:rowOff>1866900</xdr:rowOff>
        </xdr:to>
        <xdr:sp macro="" textlink="">
          <xdr:nvSpPr>
            <xdr:cNvPr id="1096" name="CommandButton7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285750</xdr:colOff>
          <xdr:row>0</xdr:row>
          <xdr:rowOff>1600200</xdr:rowOff>
        </xdr:from>
        <xdr:to>
          <xdr:col>27</xdr:col>
          <xdr:colOff>19050</xdr:colOff>
          <xdr:row>0</xdr:row>
          <xdr:rowOff>1866900</xdr:rowOff>
        </xdr:to>
        <xdr:sp macro="" textlink="">
          <xdr:nvSpPr>
            <xdr:cNvPr id="1097" name="CommandButton8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0</xdr:row>
          <xdr:rowOff>1600200</xdr:rowOff>
        </xdr:from>
        <xdr:to>
          <xdr:col>27</xdr:col>
          <xdr:colOff>361950</xdr:colOff>
          <xdr:row>0</xdr:row>
          <xdr:rowOff>1866900</xdr:rowOff>
        </xdr:to>
        <xdr:sp macro="" textlink="">
          <xdr:nvSpPr>
            <xdr:cNvPr id="1098" name="CommandButton9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0</xdr:row>
          <xdr:rowOff>1876425</xdr:rowOff>
        </xdr:from>
        <xdr:to>
          <xdr:col>25</xdr:col>
          <xdr:colOff>38100</xdr:colOff>
          <xdr:row>0</xdr:row>
          <xdr:rowOff>2143125</xdr:rowOff>
        </xdr:to>
        <xdr:sp macro="" textlink="">
          <xdr:nvSpPr>
            <xdr:cNvPr id="1099" name="CommandButton10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0</xdr:row>
          <xdr:rowOff>1885950</xdr:rowOff>
        </xdr:from>
        <xdr:to>
          <xdr:col>25</xdr:col>
          <xdr:colOff>409575</xdr:colOff>
          <xdr:row>0</xdr:row>
          <xdr:rowOff>2152650</xdr:rowOff>
        </xdr:to>
        <xdr:sp macro="" textlink="">
          <xdr:nvSpPr>
            <xdr:cNvPr id="1104" name="CommandButton11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428625</xdr:colOff>
          <xdr:row>0</xdr:row>
          <xdr:rowOff>1885950</xdr:rowOff>
        </xdr:from>
        <xdr:to>
          <xdr:col>26</xdr:col>
          <xdr:colOff>228600</xdr:colOff>
          <xdr:row>0</xdr:row>
          <xdr:rowOff>2152650</xdr:rowOff>
        </xdr:to>
        <xdr:sp macro="" textlink="">
          <xdr:nvSpPr>
            <xdr:cNvPr id="1105" name="CommandButton12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276225</xdr:colOff>
          <xdr:row>0</xdr:row>
          <xdr:rowOff>1885950</xdr:rowOff>
        </xdr:from>
        <xdr:to>
          <xdr:col>27</xdr:col>
          <xdr:colOff>9525</xdr:colOff>
          <xdr:row>0</xdr:row>
          <xdr:rowOff>2152650</xdr:rowOff>
        </xdr:to>
        <xdr:sp macro="" textlink="">
          <xdr:nvSpPr>
            <xdr:cNvPr id="1106" name="CommandButton13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0</xdr:row>
          <xdr:rowOff>1895475</xdr:rowOff>
        </xdr:from>
        <xdr:to>
          <xdr:col>27</xdr:col>
          <xdr:colOff>361950</xdr:colOff>
          <xdr:row>0</xdr:row>
          <xdr:rowOff>2162175</xdr:rowOff>
        </xdr:to>
        <xdr:sp macro="" textlink="">
          <xdr:nvSpPr>
            <xdr:cNvPr id="1107" name="CommandButton14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314325</xdr:colOff>
      <xdr:row>0</xdr:row>
      <xdr:rowOff>9525</xdr:rowOff>
    </xdr:from>
    <xdr:to>
      <xdr:col>23</xdr:col>
      <xdr:colOff>381001</xdr:colOff>
      <xdr:row>0</xdr:row>
      <xdr:rowOff>2219324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295274</xdr:colOff>
      <xdr:row>2</xdr:row>
      <xdr:rowOff>66674</xdr:rowOff>
    </xdr:from>
    <xdr:to>
      <xdr:col>16</xdr:col>
      <xdr:colOff>590550</xdr:colOff>
      <xdr:row>5</xdr:row>
      <xdr:rowOff>76199</xdr:rowOff>
    </xdr:to>
    <xdr:sp macro="" textlink="">
      <xdr:nvSpPr>
        <xdr:cNvPr id="5" name="Speech Bubble: Rectangle with Corners Rounded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H="1">
          <a:off x="8829674" y="447674"/>
          <a:ext cx="1514476" cy="581025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000"/>
            <a:t>gieb</a:t>
          </a:r>
          <a:r>
            <a:rPr lang="de-DE" sz="1000" baseline="0"/>
            <a:t> dein max 1Rep. nur in der erste Woche</a:t>
          </a:r>
          <a:endParaRPr lang="de-DE" sz="1000"/>
        </a:p>
      </xdr:txBody>
    </xdr:sp>
    <xdr:clientData/>
  </xdr:twoCellAnchor>
  <xdr:twoCellAnchor>
    <xdr:from>
      <xdr:col>7</xdr:col>
      <xdr:colOff>28574</xdr:colOff>
      <xdr:row>2</xdr:row>
      <xdr:rowOff>57150</xdr:rowOff>
    </xdr:from>
    <xdr:to>
      <xdr:col>9</xdr:col>
      <xdr:colOff>809624</xdr:colOff>
      <xdr:row>5</xdr:row>
      <xdr:rowOff>76200</xdr:rowOff>
    </xdr:to>
    <xdr:sp macro="" textlink="">
      <xdr:nvSpPr>
        <xdr:cNvPr id="6" name="Speech Bubble: Rectangle with Corners Rounded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295774" y="438150"/>
          <a:ext cx="2219325" cy="590550"/>
        </a:xfrm>
        <a:prstGeom prst="wedgeRoundRectCallout">
          <a:avLst/>
        </a:prstGeom>
        <a:solidFill>
          <a:srgbClr val="F68A82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900"/>
            <a:t>Achtung</a:t>
          </a:r>
          <a:r>
            <a:rPr lang="de-DE" sz="900" baseline="0"/>
            <a:t>! in Spalte kg nichts eingeben. Gewicht wird prozentual ausgerechnet</a:t>
          </a:r>
          <a:endParaRPr lang="de-DE" sz="900"/>
        </a:p>
      </xdr:txBody>
    </xdr:sp>
    <xdr:clientData/>
  </xdr:twoCellAnchor>
  <xdr:twoCellAnchor>
    <xdr:from>
      <xdr:col>4</xdr:col>
      <xdr:colOff>238120</xdr:colOff>
      <xdr:row>2</xdr:row>
      <xdr:rowOff>142874</xdr:rowOff>
    </xdr:from>
    <xdr:to>
      <xdr:col>7</xdr:col>
      <xdr:colOff>19050</xdr:colOff>
      <xdr:row>5</xdr:row>
      <xdr:rowOff>66675</xdr:rowOff>
    </xdr:to>
    <xdr:sp macro="" textlink="">
      <xdr:nvSpPr>
        <xdr:cNvPr id="7" name="Speech Bubble: Rectangle with Corners Rounded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flipH="1">
          <a:off x="2676520" y="523874"/>
          <a:ext cx="1743080" cy="495301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000"/>
            <a:t>Gieb</a:t>
          </a:r>
          <a:r>
            <a:rPr lang="de-DE" sz="1000" baseline="0"/>
            <a:t> dein gewünschter </a:t>
          </a:r>
        </a:p>
        <a:p>
          <a:pPr algn="l"/>
          <a:r>
            <a:rPr lang="de-DE" sz="1000" baseline="0"/>
            <a:t>Prozentwert von 1Rep . </a:t>
          </a:r>
        </a:p>
        <a:p>
          <a:pPr algn="l"/>
          <a:endParaRPr lang="de-DE" sz="1000"/>
        </a:p>
      </xdr:txBody>
    </xdr:sp>
    <xdr:clientData/>
  </xdr:twoCellAnchor>
  <xdr:twoCellAnchor>
    <xdr:from>
      <xdr:col>17</xdr:col>
      <xdr:colOff>28574</xdr:colOff>
      <xdr:row>0</xdr:row>
      <xdr:rowOff>171450</xdr:rowOff>
    </xdr:from>
    <xdr:to>
      <xdr:col>18</xdr:col>
      <xdr:colOff>228599</xdr:colOff>
      <xdr:row>5</xdr:row>
      <xdr:rowOff>76199</xdr:rowOff>
    </xdr:to>
    <xdr:sp macro="" textlink="">
      <xdr:nvSpPr>
        <xdr:cNvPr id="9" name="Speech Bubble: Rectangle with Corners Rounded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10800000" flipH="1" flipV="1">
          <a:off x="10391774" y="171450"/>
          <a:ext cx="809625" cy="857249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 baseline="0"/>
            <a:t>Bewegte Gewicht pro Übung </a:t>
          </a:r>
          <a:endParaRPr lang="de-DE" sz="1100"/>
        </a:p>
      </xdr:txBody>
    </xdr:sp>
    <xdr:clientData/>
  </xdr:twoCellAnchor>
  <xdr:twoCellAnchor>
    <xdr:from>
      <xdr:col>19</xdr:col>
      <xdr:colOff>47624</xdr:colOff>
      <xdr:row>1</xdr:row>
      <xdr:rowOff>161925</xdr:rowOff>
    </xdr:from>
    <xdr:to>
      <xdr:col>20</xdr:col>
      <xdr:colOff>123824</xdr:colOff>
      <xdr:row>5</xdr:row>
      <xdr:rowOff>66674</xdr:rowOff>
    </xdr:to>
    <xdr:sp macro="" textlink="">
      <xdr:nvSpPr>
        <xdr:cNvPr id="10" name="Speech Bubble: Rectangle with Corners Rounded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0800000" flipH="1" flipV="1">
          <a:off x="11820524" y="352425"/>
          <a:ext cx="990600" cy="666749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Gewicht</a:t>
          </a:r>
          <a:r>
            <a:rPr lang="de-DE" sz="1100" baseline="0"/>
            <a:t> pro Tag </a:t>
          </a:r>
          <a:endParaRPr lang="de-DE" sz="1100"/>
        </a:p>
      </xdr:txBody>
    </xdr:sp>
    <xdr:clientData/>
  </xdr:twoCellAnchor>
  <xdr:twoCellAnchor>
    <xdr:from>
      <xdr:col>21</xdr:col>
      <xdr:colOff>95249</xdr:colOff>
      <xdr:row>0</xdr:row>
      <xdr:rowOff>38100</xdr:rowOff>
    </xdr:from>
    <xdr:to>
      <xdr:col>23</xdr:col>
      <xdr:colOff>238124</xdr:colOff>
      <xdr:row>5</xdr:row>
      <xdr:rowOff>85725</xdr:rowOff>
    </xdr:to>
    <xdr:sp macro="" textlink="">
      <xdr:nvSpPr>
        <xdr:cNvPr id="11" name="Speech Bubble: Rectangle with Corners Rounded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rot="10800000" flipH="1" flipV="1">
          <a:off x="14382749" y="38100"/>
          <a:ext cx="1571625" cy="1000125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 baseline="0"/>
            <a:t>Mittlere Gewicht </a:t>
          </a:r>
        </a:p>
        <a:p>
          <a:pPr algn="l"/>
          <a:r>
            <a:rPr lang="de-DE" sz="1100" baseline="0"/>
            <a:t>Tonnage/Volumen</a:t>
          </a:r>
          <a:endParaRPr lang="de-DE" sz="1100"/>
        </a:p>
      </xdr:txBody>
    </xdr:sp>
    <xdr:clientData/>
  </xdr:twoCellAnchor>
  <xdr:twoCellAnchor>
    <xdr:from>
      <xdr:col>20</xdr:col>
      <xdr:colOff>95250</xdr:colOff>
      <xdr:row>2</xdr:row>
      <xdr:rowOff>161925</xdr:rowOff>
    </xdr:from>
    <xdr:to>
      <xdr:col>21</xdr:col>
      <xdr:colOff>161925</xdr:colOff>
      <xdr:row>5</xdr:row>
      <xdr:rowOff>123824</xdr:rowOff>
    </xdr:to>
    <xdr:sp macro="" textlink="">
      <xdr:nvSpPr>
        <xdr:cNvPr id="12" name="Speech Bubble: Rectangle with Corners Rounded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 flipH="1" flipV="1">
          <a:off x="13392150" y="542925"/>
          <a:ext cx="1057275" cy="533399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 baseline="0"/>
            <a:t>Gesamt Volumen</a:t>
          </a:r>
          <a:endParaRPr lang="de-DE" sz="1100"/>
        </a:p>
      </xdr:txBody>
    </xdr:sp>
    <xdr:clientData/>
  </xdr:twoCellAnchor>
  <xdr:twoCellAnchor>
    <xdr:from>
      <xdr:col>18</xdr:col>
      <xdr:colOff>238125</xdr:colOff>
      <xdr:row>3</xdr:row>
      <xdr:rowOff>133349</xdr:rowOff>
    </xdr:from>
    <xdr:to>
      <xdr:col>19</xdr:col>
      <xdr:colOff>152400</xdr:colOff>
      <xdr:row>5</xdr:row>
      <xdr:rowOff>114298</xdr:rowOff>
    </xdr:to>
    <xdr:sp macro="" textlink="">
      <xdr:nvSpPr>
        <xdr:cNvPr id="13" name="Speech Bubble: Rectangle with Corners Rounded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 rot="10800000" flipH="1" flipV="1">
          <a:off x="11544300" y="704849"/>
          <a:ext cx="990600" cy="361949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 baseline="0"/>
            <a:t>Volumen</a:t>
          </a:r>
          <a:endParaRPr lang="de-DE" sz="1100"/>
        </a:p>
      </xdr:txBody>
    </xdr:sp>
    <xdr:clientData/>
  </xdr:twoCellAnchor>
  <xdr:twoCellAnchor>
    <xdr:from>
      <xdr:col>11</xdr:col>
      <xdr:colOff>76200</xdr:colOff>
      <xdr:row>9</xdr:row>
      <xdr:rowOff>123825</xdr:rowOff>
    </xdr:from>
    <xdr:to>
      <xdr:col>20</xdr:col>
      <xdr:colOff>180975</xdr:colOff>
      <xdr:row>39</xdr:row>
      <xdr:rowOff>123825</xdr:rowOff>
    </xdr:to>
    <xdr:sp macro="" textlink="">
      <xdr:nvSpPr>
        <xdr:cNvPr id="24" name="Rectangle: Diagonal Corners Snipped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896100" y="1847850"/>
          <a:ext cx="5972175" cy="5829300"/>
        </a:xfrm>
        <a:prstGeom prst="snip2DiagRect">
          <a:avLst/>
        </a:prstGeom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1. Gib deine</a:t>
          </a:r>
          <a:r>
            <a:rPr lang="de-DE" sz="1100" baseline="0"/>
            <a:t> Übungen ein (Tipp: überlege gründlich die Reihenfolge! )</a:t>
          </a:r>
          <a:endParaRPr lang="de-DE" sz="1100"/>
        </a:p>
        <a:p>
          <a:pPr algn="l"/>
          <a:r>
            <a:rPr lang="de-DE" sz="1100"/>
            <a:t>2. Gib dein</a:t>
          </a:r>
          <a:r>
            <a:rPr lang="de-DE" sz="1100" baseline="0"/>
            <a:t> 1Rep ein nur in der erste Woche</a:t>
          </a:r>
        </a:p>
        <a:p>
          <a:pPr algn="l"/>
          <a:r>
            <a:rPr lang="de-DE" sz="1100" baseline="0"/>
            <a:t>3. Fange an Prozentwerte einzuteilen </a:t>
          </a:r>
          <a:r>
            <a:rPr lang="de-DE" sz="1100" baseline="0">
              <a:solidFill>
                <a:srgbClr val="FF0000"/>
              </a:solidFill>
            </a:rPr>
            <a:t>(in kg Spalte bitte nichts eingeben!) </a:t>
          </a:r>
          <a:r>
            <a:rPr lang="de-DE" sz="1100" baseline="0"/>
            <a:t>(Tipp: am besten sollte man am Diagramm Sinusartige Welle erreichen)</a:t>
          </a:r>
        </a:p>
        <a:p>
          <a:pPr algn="l"/>
          <a:r>
            <a:rPr lang="de-DE" sz="1100" baseline="0"/>
            <a:t>4. Volumen (Tipp: Sinuswelle anstreben)</a:t>
          </a:r>
        </a:p>
        <a:p>
          <a:pPr algn="l"/>
          <a:endParaRPr lang="de-DE" sz="1100" baseline="0"/>
        </a:p>
        <a:p>
          <a:pPr algn="l"/>
          <a:r>
            <a:rPr lang="de-DE" sz="1100" baseline="0"/>
            <a:t>5. Wenn alle drei ersten Wochen fertig sind, klicke in Menü  "Plan erstellen".</a:t>
          </a:r>
        </a:p>
        <a:p>
          <a:pPr algn="l"/>
          <a:r>
            <a:rPr lang="de-DE" sz="1100" baseline="0"/>
            <a:t> -Es werden Kopien von deine ersten drei Wochen erstellt Leicht-Mittel-Schwer-Leicht u.s.w</a:t>
          </a:r>
        </a:p>
        <a:p>
          <a:pPr algn="l"/>
          <a:endParaRPr lang="de-DE" sz="1100" baseline="0"/>
        </a:p>
        <a:p>
          <a:pPr algn="l"/>
          <a:r>
            <a:rPr lang="de-DE" sz="1100" baseline="0"/>
            <a:t>6. Wähle 1Rep koeffizient . Es stehen fünf Optionen zum Auswahl. Es wird je nach gewählte Option zu jede neue angefange Woche (für jede Übung!)  Gewicht addiert von letzten bekannten 1Rep.  </a:t>
          </a:r>
        </a:p>
        <a:p>
          <a:pPr algn="l"/>
          <a:endParaRPr lang="de-DE" sz="1100" baseline="0"/>
        </a:p>
        <a:p>
          <a:pPr algn="l"/>
          <a:r>
            <a:rPr lang="de-DE" sz="1100" baseline="0"/>
            <a:t>7.Am Infocenter kannst du deine potenzielle Steigerung Visuell erfassen.</a:t>
          </a:r>
        </a:p>
        <a:p>
          <a:pPr algn="l"/>
          <a:endParaRPr lang="de-DE" sz="1100" baseline="0"/>
        </a:p>
        <a:p>
          <a:pPr algn="l"/>
          <a:r>
            <a:rPr lang="de-DE" sz="1100" baseline="0"/>
            <a:t>8.Fange an zu Trainieren</a:t>
          </a:r>
        </a:p>
        <a:p>
          <a:pPr algn="l"/>
          <a:endParaRPr lang="de-DE" sz="1100" baseline="0"/>
        </a:p>
        <a:p>
          <a:pPr algn="l"/>
          <a:r>
            <a:rPr lang="de-DE" sz="1400" b="1" baseline="0">
              <a:solidFill>
                <a:schemeClr val="bg1"/>
              </a:solidFill>
            </a:rPr>
            <a:t>Mittelwert :</a:t>
          </a:r>
        </a:p>
        <a:p>
          <a:pPr algn="l"/>
          <a:r>
            <a:rPr lang="de-DE" sz="1100" baseline="0">
              <a:solidFill>
                <a:schemeClr val="tx1"/>
              </a:solidFill>
            </a:rPr>
            <a:t>kleiner als 4 	 (um 6% reduziert)</a:t>
          </a:r>
        </a:p>
        <a:p>
          <a:pPr algn="l"/>
          <a:r>
            <a:rPr lang="de-DE" sz="1100" baseline="0">
              <a:solidFill>
                <a:schemeClr val="tx1"/>
              </a:solidFill>
            </a:rPr>
            <a:t>kleiner als 5 	 (um 5% reduziert)</a:t>
          </a:r>
        </a:p>
        <a:p>
          <a:pPr algn="l"/>
          <a:r>
            <a:rPr lang="de-DE" sz="1100" baseline="0">
              <a:solidFill>
                <a:schemeClr val="tx1"/>
              </a:solidFill>
            </a:rPr>
            <a:t>kleiner als 6 	 (um 4% reduziert)</a:t>
          </a:r>
        </a:p>
        <a:p>
          <a:pPr algn="l"/>
          <a:r>
            <a:rPr lang="de-DE" sz="1100" baseline="0">
              <a:solidFill>
                <a:schemeClr val="tx1"/>
              </a:solidFill>
            </a:rPr>
            <a:t>6-7.4          	 (Keine Anpassung)</a:t>
          </a:r>
        </a:p>
        <a:p>
          <a:pPr algn="l"/>
          <a:r>
            <a:rPr lang="de-DE" sz="1100" baseline="0">
              <a:solidFill>
                <a:schemeClr val="tx1"/>
              </a:solidFill>
            </a:rPr>
            <a:t>7.5-10               	 (um 2% erhöht)</a:t>
          </a:r>
        </a:p>
      </xdr:txBody>
    </xdr:sp>
    <xdr:clientData/>
  </xdr:twoCellAnchor>
  <xdr:twoCellAnchor>
    <xdr:from>
      <xdr:col>8</xdr:col>
      <xdr:colOff>0</xdr:colOff>
      <xdr:row>19</xdr:row>
      <xdr:rowOff>104776</xdr:rowOff>
    </xdr:from>
    <xdr:to>
      <xdr:col>9</xdr:col>
      <xdr:colOff>123825</xdr:colOff>
      <xdr:row>19</xdr:row>
      <xdr:rowOff>113109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5916275" y="4476751"/>
          <a:ext cx="314325" cy="833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131884</xdr:colOff>
      <xdr:row>10</xdr:row>
      <xdr:rowOff>102577</xdr:rowOff>
    </xdr:from>
    <xdr:to>
      <xdr:col>9</xdr:col>
      <xdr:colOff>133351</xdr:colOff>
      <xdr:row>19</xdr:row>
      <xdr:rowOff>104775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 flipV="1">
          <a:off x="16238659" y="2721952"/>
          <a:ext cx="1467" cy="1754798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14654</xdr:colOff>
      <xdr:row>10</xdr:row>
      <xdr:rowOff>102577</xdr:rowOff>
    </xdr:from>
    <xdr:to>
      <xdr:col>9</xdr:col>
      <xdr:colOff>131884</xdr:colOff>
      <xdr:row>10</xdr:row>
      <xdr:rowOff>109904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 flipV="1">
          <a:off x="14740304" y="2721952"/>
          <a:ext cx="1498355" cy="7327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5953</xdr:colOff>
      <xdr:row>20</xdr:row>
      <xdr:rowOff>117231</xdr:rowOff>
    </xdr:from>
    <xdr:to>
      <xdr:col>9</xdr:col>
      <xdr:colOff>366346</xdr:colOff>
      <xdr:row>20</xdr:row>
      <xdr:rowOff>125016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 flipV="1">
          <a:off x="15922228" y="4689231"/>
          <a:ext cx="550893" cy="7785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8</xdr:col>
      <xdr:colOff>7327</xdr:colOff>
      <xdr:row>21</xdr:row>
      <xdr:rowOff>95252</xdr:rowOff>
    </xdr:from>
    <xdr:to>
      <xdr:col>9</xdr:col>
      <xdr:colOff>593480</xdr:colOff>
      <xdr:row>21</xdr:row>
      <xdr:rowOff>102577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5923602" y="4857752"/>
          <a:ext cx="776653" cy="7325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359019</xdr:colOff>
      <xdr:row>11</xdr:row>
      <xdr:rowOff>87923</xdr:rowOff>
    </xdr:from>
    <xdr:to>
      <xdr:col>9</xdr:col>
      <xdr:colOff>361219</xdr:colOff>
      <xdr:row>20</xdr:row>
      <xdr:rowOff>123093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 flipV="1">
          <a:off x="16465794" y="2907323"/>
          <a:ext cx="2200" cy="1787770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571500</xdr:colOff>
      <xdr:row>12</xdr:row>
      <xdr:rowOff>58616</xdr:rowOff>
    </xdr:from>
    <xdr:to>
      <xdr:col>9</xdr:col>
      <xdr:colOff>586888</xdr:colOff>
      <xdr:row>21</xdr:row>
      <xdr:rowOff>92319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flipH="1" flipV="1">
          <a:off x="16678275" y="3068516"/>
          <a:ext cx="15388" cy="1786303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4397</xdr:colOff>
      <xdr:row>11</xdr:row>
      <xdr:rowOff>87923</xdr:rowOff>
    </xdr:from>
    <xdr:to>
      <xdr:col>9</xdr:col>
      <xdr:colOff>359019</xdr:colOff>
      <xdr:row>11</xdr:row>
      <xdr:rowOff>98916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 flipV="1">
          <a:off x="14730047" y="2907323"/>
          <a:ext cx="1735747" cy="10993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7327</xdr:colOff>
      <xdr:row>12</xdr:row>
      <xdr:rowOff>58617</xdr:rowOff>
    </xdr:from>
    <xdr:to>
      <xdr:col>9</xdr:col>
      <xdr:colOff>569302</xdr:colOff>
      <xdr:row>12</xdr:row>
      <xdr:rowOff>65943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V="1">
          <a:off x="14732977" y="3068517"/>
          <a:ext cx="1943100" cy="7326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228600</xdr:colOff>
      <xdr:row>1</xdr:row>
      <xdr:rowOff>19051</xdr:rowOff>
    </xdr:from>
    <xdr:to>
      <xdr:col>4</xdr:col>
      <xdr:colOff>0</xdr:colOff>
      <xdr:row>8</xdr:row>
      <xdr:rowOff>12574</xdr:rowOff>
    </xdr:to>
    <xdr:sp macro="" textlink="">
      <xdr:nvSpPr>
        <xdr:cNvPr id="34" name="Speech Bubble: Rectangle with Corners Rounded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838200" y="209551"/>
          <a:ext cx="1600200" cy="1336548"/>
        </a:xfrm>
        <a:prstGeom prst="wedgeRoundRectCallou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2000" b="1"/>
            <a:t>Infocenter</a:t>
          </a:r>
          <a:r>
            <a:rPr lang="de-DE" sz="1100" b="0" baseline="0"/>
            <a:t> hier nichts eingeben.</a:t>
          </a:r>
        </a:p>
        <a:p>
          <a:pPr algn="l"/>
          <a:r>
            <a:rPr lang="de-DE" sz="1100" b="0" baseline="0"/>
            <a:t>Dient zum Visulle Erfassung von Progression</a:t>
          </a:r>
          <a:endParaRPr lang="de-DE" sz="2000" b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2FAB6E-BF86-4EEE-B138-540CEC593877}" name="Таблица1" displayName="Таблица1" ref="G2:X254" totalsRowShown="0" headerRowDxfId="2" dataDxfId="1">
  <autoFilter ref="G2:X254" xr:uid="{21117932-41E6-4D0E-83A5-5213B04868BD}"/>
  <tableColumns count="18">
    <tableColumn id="1" xr3:uid="{041C7728-73B8-44EC-9643-9249A0C247A0}" name="Datum" dataDxfId="19"/>
    <tableColumn id="2" xr3:uid="{072432F7-199C-43FB-8615-EF9CA2B4E7C8}" name="Übung" dataDxfId="18"/>
    <tableColumn id="3" xr3:uid="{4FA2D36F-A86D-4B34-8961-2278034AF0D0}" name="%" dataDxfId="17"/>
    <tableColumn id="5" xr3:uid="{DA40F6F1-AFDD-4088-81D1-3822D2610249}" name="." dataDxfId="0">
      <calculatedColumnFormula>S3*I3</calculatedColumnFormula>
    </tableColumn>
    <tableColumn id="6" xr3:uid="{12FF4D05-D31D-41FA-8C1C-CF9F9C664E6E}" name=".2" dataDxfId="16"/>
    <tableColumn id="7" xr3:uid="{726D0251-7D77-488E-8A58-839DF40DC623}" name=".3" dataDxfId="15"/>
    <tableColumn id="8" xr3:uid="{4EA8714F-8DD2-4487-8DCA-FEBEA312B7C8}" name="Столбец8" dataDxfId="14"/>
    <tableColumn id="9" xr3:uid="{5B79D633-856E-46B3-B034-2A19DD3AAC3B}" name=".4" dataDxfId="13"/>
    <tableColumn id="10" xr3:uid="{E0FA1732-51AD-4CE9-A4DE-5294580153FF}" name=".5" dataDxfId="12">
      <calculatedColumnFormula>S3*N3</calculatedColumnFormula>
    </tableColumn>
    <tableColumn id="11" xr3:uid="{B3146445-2195-4DE3-9F07-E33FB96DED8E}" name=".6" dataDxfId="11"/>
    <tableColumn id="12" xr3:uid="{307E7FFB-0F0A-47CB-9EB1-63F8C744CFA6}" name=".7" dataDxfId="10"/>
    <tableColumn id="13" xr3:uid="{C4E500E0-4A18-4381-B952-BA11FCE97E9A}" name="Столбец13" dataDxfId="9"/>
    <tableColumn id="14" xr3:uid="{64C12E4A-90F7-4EAE-BFD5-856F2083D2E0}" name=".8" dataDxfId="8"/>
    <tableColumn id="15" xr3:uid="{8DC6311D-1AE8-4AA6-8CA9-9A968528809F}" name=".9" dataDxfId="7">
      <calculatedColumnFormula>K3*L3*J3+O3*P3*Q3</calculatedColumnFormula>
    </tableColumn>
    <tableColumn id="16" xr3:uid="{BEF7D1C5-9E0C-4C47-948F-40E881411970}" name=".10" dataDxfId="6">
      <calculatedColumnFormula>K3*L3+P3*Q3</calculatedColumnFormula>
    </tableColumn>
    <tableColumn id="17" xr3:uid="{C076C323-7F97-4045-B8AD-AE89B60503CE}" name=".11" dataDxfId="5"/>
    <tableColumn id="18" xr3:uid="{EC7B249A-B1CA-416E-BDAA-CFCDA6CA12A2}" name="Column1" dataDxfId="4"/>
    <tableColumn id="19" xr3:uid="{01DAA431-7E2D-4BEF-AA73-86F077F40B69}" name="Column2" dataDxfId="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table" Target="../tables/table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CBD77-FD52-4D77-9CA1-8188E10398F9}">
  <sheetPr codeName="T1">
    <pageSetUpPr fitToPage="1"/>
  </sheetPr>
  <dimension ref="A1:AZ390"/>
  <sheetViews>
    <sheetView showGridLines="0" tabSelected="1" zoomScaleNormal="100" workbookViewId="0">
      <pane ySplit="2" topLeftCell="A45" activePane="bottomLeft" state="frozen"/>
      <selection activeCell="AC1" sqref="AC1"/>
      <selection pane="bottomLeft" activeCell="O47" sqref="O47"/>
    </sheetView>
    <sheetView tabSelected="1" zoomScaleNormal="100" workbookViewId="1">
      <selection activeCell="U1" sqref="U1:U1048576"/>
    </sheetView>
  </sheetViews>
  <sheetFormatPr defaultColWidth="9.140625" defaultRowHeight="15" x14ac:dyDescent="0.25"/>
  <cols>
    <col min="1" max="3" width="9.140625" style="8"/>
    <col min="4" max="4" width="9.140625" style="8" customWidth="1"/>
    <col min="5" max="5" width="9.140625" style="8"/>
    <col min="6" max="6" width="9.140625" style="8" customWidth="1"/>
    <col min="7" max="7" width="10.28515625" style="31" customWidth="1"/>
    <col min="8" max="8" width="22.140625" style="32" customWidth="1"/>
    <col min="9" max="9" width="5.5703125" style="33" customWidth="1"/>
    <col min="10" max="10" width="6.7109375" style="199" customWidth="1"/>
    <col min="11" max="11" width="4" style="8" customWidth="1"/>
    <col min="12" max="12" width="4.140625" style="8" customWidth="1"/>
    <col min="13" max="13" width="1.5703125" style="34" customWidth="1"/>
    <col min="14" max="14" width="4.85546875" style="35" customWidth="1"/>
    <col min="15" max="15" width="6.28515625" style="8" customWidth="1"/>
    <col min="16" max="16" width="5.42578125" style="8" customWidth="1"/>
    <col min="17" max="17" width="5.7109375" style="8" customWidth="1"/>
    <col min="18" max="18" width="1.7109375" style="34" customWidth="1"/>
    <col min="19" max="19" width="7.28515625" style="29" customWidth="1"/>
    <col min="20" max="20" width="7.42578125" style="8" customWidth="1"/>
    <col min="21" max="21" width="6.7109375" style="8" customWidth="1"/>
    <col min="22" max="22" width="11.28515625" style="8" customWidth="1"/>
    <col min="23" max="23" width="11" style="8" customWidth="1"/>
    <col min="24" max="24" width="5.85546875" style="8" customWidth="1"/>
    <col min="25" max="25" width="7.42578125" style="8" customWidth="1"/>
    <col min="26" max="26" width="7.85546875" style="8" customWidth="1"/>
    <col min="27" max="28" width="8.85546875" style="8" customWidth="1"/>
    <col min="29" max="29" width="7" style="8" customWidth="1"/>
    <col min="30" max="30" width="10" style="8" customWidth="1"/>
    <col min="31" max="31" width="7.85546875" style="8" customWidth="1"/>
    <col min="32" max="32" width="2.85546875" style="8" customWidth="1"/>
    <col min="33" max="33" width="9.140625" style="8" customWidth="1"/>
    <col min="34" max="16384" width="9.140625" style="8"/>
  </cols>
  <sheetData>
    <row r="1" spans="1:51" ht="189.75" customHeight="1" x14ac:dyDescent="0.25">
      <c r="A1" s="50"/>
      <c r="B1" s="50"/>
      <c r="C1" s="50"/>
      <c r="D1" s="50"/>
      <c r="E1" s="50"/>
      <c r="F1" s="50"/>
      <c r="G1" s="59" t="s">
        <v>19</v>
      </c>
      <c r="H1" s="60" t="s">
        <v>3</v>
      </c>
      <c r="I1" s="61" t="s">
        <v>6</v>
      </c>
      <c r="J1" s="60" t="s">
        <v>0</v>
      </c>
      <c r="K1" s="60" t="s">
        <v>10</v>
      </c>
      <c r="L1" s="60" t="s">
        <v>1</v>
      </c>
      <c r="M1" s="60"/>
      <c r="N1" s="61" t="s">
        <v>6</v>
      </c>
      <c r="O1" s="60" t="s">
        <v>0</v>
      </c>
      <c r="P1" s="60" t="s">
        <v>10</v>
      </c>
      <c r="Q1" s="60" t="s">
        <v>1</v>
      </c>
      <c r="R1" s="62"/>
      <c r="S1" s="65" t="s">
        <v>74</v>
      </c>
      <c r="T1" s="63" t="s">
        <v>4</v>
      </c>
      <c r="U1" s="63" t="s">
        <v>68</v>
      </c>
      <c r="V1" s="64" t="s">
        <v>25</v>
      </c>
      <c r="W1" s="64" t="s">
        <v>72</v>
      </c>
      <c r="X1" s="63" t="s">
        <v>24</v>
      </c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</row>
    <row r="2" spans="1:51" ht="39" hidden="1" customHeight="1" x14ac:dyDescent="0.25">
      <c r="A2" s="50"/>
      <c r="B2" s="50"/>
      <c r="C2" s="50"/>
      <c r="D2" s="50"/>
      <c r="E2" s="50"/>
      <c r="F2" s="50"/>
      <c r="G2" s="107" t="s">
        <v>19</v>
      </c>
      <c r="H2" s="2" t="s">
        <v>3</v>
      </c>
      <c r="I2" s="108" t="s">
        <v>6</v>
      </c>
      <c r="J2" s="185" t="s">
        <v>20</v>
      </c>
      <c r="K2" s="2" t="s">
        <v>28</v>
      </c>
      <c r="L2" s="2" t="s">
        <v>29</v>
      </c>
      <c r="M2" s="2" t="s">
        <v>17</v>
      </c>
      <c r="N2" s="108" t="s">
        <v>30</v>
      </c>
      <c r="O2" s="2" t="s">
        <v>31</v>
      </c>
      <c r="P2" s="2" t="s">
        <v>32</v>
      </c>
      <c r="Q2" s="2" t="s">
        <v>33</v>
      </c>
      <c r="R2" s="109" t="s">
        <v>18</v>
      </c>
      <c r="S2" s="5" t="s">
        <v>34</v>
      </c>
      <c r="T2" s="6" t="s">
        <v>35</v>
      </c>
      <c r="U2" s="6" t="s">
        <v>36</v>
      </c>
      <c r="V2" s="7" t="s">
        <v>37</v>
      </c>
      <c r="W2" s="110" t="s">
        <v>70</v>
      </c>
      <c r="X2" s="6" t="s">
        <v>71</v>
      </c>
      <c r="AA2" s="111" t="s">
        <v>4</v>
      </c>
      <c r="AB2" s="111" t="s">
        <v>1</v>
      </c>
      <c r="AC2" s="111" t="s">
        <v>16</v>
      </c>
      <c r="AD2" s="111" t="s">
        <v>11</v>
      </c>
      <c r="AE2" s="111" t="s">
        <v>12</v>
      </c>
      <c r="AI2" s="36"/>
      <c r="AJ2" s="36"/>
      <c r="AK2" s="36"/>
      <c r="AL2" s="36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</row>
    <row r="3" spans="1:51" ht="16.5" customHeight="1" thickBot="1" x14ac:dyDescent="0.3">
      <c r="A3" s="50"/>
      <c r="B3" s="50"/>
      <c r="C3" s="50"/>
      <c r="D3" s="50"/>
      <c r="E3" s="50"/>
      <c r="F3" s="50"/>
      <c r="G3" s="112" t="s">
        <v>7</v>
      </c>
      <c r="H3" s="113"/>
      <c r="I3" s="113"/>
      <c r="J3" s="186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4">
        <f>V4+V11+V18</f>
        <v>23917.5</v>
      </c>
      <c r="W3" s="114">
        <f>W4+W11+W18</f>
        <v>535</v>
      </c>
      <c r="X3" s="115">
        <f>Таблица1[[#This Row],[.11]]/Таблица1[[#This Row],[Column1]]</f>
        <v>44.705607476635514</v>
      </c>
      <c r="Y3" s="116" t="s">
        <v>73</v>
      </c>
      <c r="Z3" s="116" t="s">
        <v>22</v>
      </c>
      <c r="AA3" s="117" t="s">
        <v>4</v>
      </c>
      <c r="AB3" s="118" t="s">
        <v>67</v>
      </c>
      <c r="AC3" s="119" t="s">
        <v>24</v>
      </c>
      <c r="AD3" s="118" t="s">
        <v>11</v>
      </c>
      <c r="AE3" s="118" t="s">
        <v>27</v>
      </c>
      <c r="AF3" s="120"/>
      <c r="AG3" s="36"/>
      <c r="AH3" s="40"/>
      <c r="AI3" s="36"/>
      <c r="AJ3" s="36"/>
      <c r="AK3" s="36"/>
      <c r="AL3" s="36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</row>
    <row r="4" spans="1:51" ht="15.75" thickTop="1" x14ac:dyDescent="0.25">
      <c r="A4" s="50"/>
      <c r="B4" s="50"/>
      <c r="C4" s="50"/>
      <c r="D4" s="50"/>
      <c r="E4" s="50"/>
      <c r="F4" s="50"/>
      <c r="G4" s="121">
        <v>43472</v>
      </c>
      <c r="H4" s="66" t="s">
        <v>40</v>
      </c>
      <c r="I4" s="67">
        <v>0.45</v>
      </c>
      <c r="J4" s="187">
        <f t="shared" ref="J4:J9" si="0">S4*I4</f>
        <v>67.5</v>
      </c>
      <c r="K4" s="68">
        <v>3</v>
      </c>
      <c r="L4" s="68">
        <v>8</v>
      </c>
      <c r="M4" s="16"/>
      <c r="N4" s="69">
        <v>0.6</v>
      </c>
      <c r="O4" s="122">
        <f>S4*N4</f>
        <v>90</v>
      </c>
      <c r="P4" s="68">
        <v>2</v>
      </c>
      <c r="Q4" s="68">
        <v>3</v>
      </c>
      <c r="R4" s="16"/>
      <c r="S4" s="70">
        <v>150</v>
      </c>
      <c r="T4" s="70">
        <f>K4*L4*J4+O4*P4*Q4</f>
        <v>2160</v>
      </c>
      <c r="U4" s="71">
        <f>K4*L4+P4*Q4</f>
        <v>30</v>
      </c>
      <c r="V4" s="123">
        <f>T4+T5+T6+T7+T8+T9</f>
        <v>9003</v>
      </c>
      <c r="W4" s="124">
        <f>U4+U5+U6+U7+U8+U9</f>
        <v>184</v>
      </c>
      <c r="X4" s="80"/>
      <c r="Y4" s="58">
        <f>I10</f>
        <v>0</v>
      </c>
      <c r="Z4" s="42">
        <v>1</v>
      </c>
      <c r="AA4" s="9">
        <f>V3</f>
        <v>23917.5</v>
      </c>
      <c r="AB4" s="9">
        <f>W3</f>
        <v>535</v>
      </c>
      <c r="AC4" s="10">
        <f>X3</f>
        <v>44.705607476635514</v>
      </c>
      <c r="AD4" s="36"/>
      <c r="AE4" s="36"/>
      <c r="AF4" s="36"/>
      <c r="AG4" s="36"/>
      <c r="AH4" s="36"/>
      <c r="AI4" s="36"/>
      <c r="AJ4" s="36"/>
      <c r="AK4" s="36"/>
      <c r="AL4" s="36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</row>
    <row r="5" spans="1:51" x14ac:dyDescent="0.25">
      <c r="A5" s="50"/>
      <c r="B5" s="50"/>
      <c r="C5" s="50"/>
      <c r="D5" s="50"/>
      <c r="E5" s="50"/>
      <c r="F5" s="50"/>
      <c r="G5" s="30"/>
      <c r="H5" s="13" t="s">
        <v>41</v>
      </c>
      <c r="I5" s="14">
        <v>0.45</v>
      </c>
      <c r="J5" s="188">
        <f t="shared" si="0"/>
        <v>60.75</v>
      </c>
      <c r="K5" s="15">
        <v>3</v>
      </c>
      <c r="L5" s="15">
        <v>8</v>
      </c>
      <c r="M5" s="16"/>
      <c r="N5" s="17">
        <v>0.6</v>
      </c>
      <c r="O5" s="24">
        <f t="shared" ref="O5:O9" si="1">S5*N5</f>
        <v>81</v>
      </c>
      <c r="P5" s="15">
        <v>2</v>
      </c>
      <c r="Q5" s="15">
        <v>5</v>
      </c>
      <c r="R5" s="16"/>
      <c r="S5" s="19">
        <v>135</v>
      </c>
      <c r="T5" s="19">
        <f t="shared" ref="T5:T9" si="2">K5*L5*J5+O5*P5*Q5</f>
        <v>2268</v>
      </c>
      <c r="U5" s="18">
        <f t="shared" ref="U5:U9" si="3">K5*L5+P5*Q5</f>
        <v>34</v>
      </c>
      <c r="V5" s="25"/>
      <c r="W5" s="49"/>
      <c r="X5" s="80"/>
      <c r="Y5" s="58">
        <f>I31</f>
        <v>0</v>
      </c>
      <c r="Z5" s="43">
        <v>2</v>
      </c>
      <c r="AA5" s="11">
        <f>V24</f>
        <v>26846.25</v>
      </c>
      <c r="AB5" s="11">
        <f>W24</f>
        <v>459</v>
      </c>
      <c r="AC5" s="12">
        <f>X24</f>
        <v>58.488562091503269</v>
      </c>
      <c r="AD5" s="36"/>
      <c r="AE5" s="36"/>
      <c r="AF5" s="36"/>
      <c r="AG5" s="36"/>
      <c r="AH5" s="36"/>
      <c r="AI5" s="36"/>
      <c r="AJ5" s="36"/>
      <c r="AK5" s="36"/>
      <c r="AL5" s="36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</row>
    <row r="6" spans="1:51" ht="15.75" thickBot="1" x14ac:dyDescent="0.3">
      <c r="A6" s="50"/>
      <c r="B6" s="50"/>
      <c r="C6" s="50"/>
      <c r="D6" s="50"/>
      <c r="E6" s="50"/>
      <c r="F6" s="50"/>
      <c r="G6" s="125"/>
      <c r="H6" s="66" t="s">
        <v>42</v>
      </c>
      <c r="I6" s="67">
        <v>0.5</v>
      </c>
      <c r="J6" s="189">
        <f t="shared" si="0"/>
        <v>55</v>
      </c>
      <c r="K6" s="68">
        <v>3</v>
      </c>
      <c r="L6" s="68">
        <v>10</v>
      </c>
      <c r="M6" s="16"/>
      <c r="N6" s="69">
        <v>0</v>
      </c>
      <c r="O6" s="72">
        <f t="shared" si="1"/>
        <v>0</v>
      </c>
      <c r="P6" s="68"/>
      <c r="Q6" s="68"/>
      <c r="R6" s="16"/>
      <c r="S6" s="70">
        <v>110</v>
      </c>
      <c r="T6" s="70">
        <f t="shared" si="2"/>
        <v>1650</v>
      </c>
      <c r="U6" s="71">
        <f t="shared" si="3"/>
        <v>30</v>
      </c>
      <c r="V6" s="25"/>
      <c r="W6" s="49"/>
      <c r="X6" s="80"/>
      <c r="Y6" s="58">
        <f>I52</f>
        <v>0</v>
      </c>
      <c r="Z6" s="44">
        <v>3</v>
      </c>
      <c r="AA6" s="20">
        <f>V45</f>
        <v>28190.399999999998</v>
      </c>
      <c r="AB6" s="20">
        <f>W45</f>
        <v>432</v>
      </c>
      <c r="AC6" s="21">
        <f>X45</f>
        <v>65.255555555555546</v>
      </c>
      <c r="AD6" s="36"/>
      <c r="AE6" s="36"/>
      <c r="AF6" s="36"/>
      <c r="AG6" s="36"/>
      <c r="AH6" s="36"/>
      <c r="AI6" s="36"/>
      <c r="AJ6" s="36"/>
      <c r="AK6" s="36"/>
      <c r="AL6" s="36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</row>
    <row r="7" spans="1:51" ht="15.75" thickTop="1" x14ac:dyDescent="0.25">
      <c r="A7" s="50"/>
      <c r="B7" s="50"/>
      <c r="C7" s="50"/>
      <c r="D7" s="50"/>
      <c r="E7" s="50"/>
      <c r="F7" s="50"/>
      <c r="G7" s="22"/>
      <c r="H7" s="13" t="s">
        <v>43</v>
      </c>
      <c r="I7" s="14">
        <v>0.5</v>
      </c>
      <c r="J7" s="188">
        <f t="shared" si="0"/>
        <v>40</v>
      </c>
      <c r="K7" s="15">
        <v>3</v>
      </c>
      <c r="L7" s="15">
        <v>10</v>
      </c>
      <c r="M7" s="16"/>
      <c r="N7" s="17">
        <v>0</v>
      </c>
      <c r="O7" s="24">
        <f t="shared" si="1"/>
        <v>0</v>
      </c>
      <c r="P7" s="15"/>
      <c r="Q7" s="15"/>
      <c r="R7" s="16"/>
      <c r="S7" s="19">
        <v>80</v>
      </c>
      <c r="T7" s="19">
        <f t="shared" si="2"/>
        <v>1200</v>
      </c>
      <c r="U7" s="18">
        <f t="shared" si="3"/>
        <v>30</v>
      </c>
      <c r="V7" s="25"/>
      <c r="W7" s="49"/>
      <c r="X7" s="80"/>
      <c r="Y7" s="58">
        <f>I73</f>
        <v>0</v>
      </c>
      <c r="Z7" s="42">
        <v>4</v>
      </c>
      <c r="AA7" s="9">
        <f>V66</f>
        <v>24318</v>
      </c>
      <c r="AB7" s="9">
        <f>W66</f>
        <v>535</v>
      </c>
      <c r="AC7" s="10">
        <f>X66</f>
        <v>45.454205607476638</v>
      </c>
      <c r="AD7" s="39"/>
      <c r="AE7" s="36"/>
      <c r="AF7" s="36"/>
      <c r="AG7" s="36"/>
      <c r="AH7" s="36"/>
      <c r="AI7" s="36"/>
      <c r="AJ7" s="36"/>
      <c r="AK7" s="36"/>
      <c r="AL7" s="36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</row>
    <row r="8" spans="1:51" x14ac:dyDescent="0.25">
      <c r="A8" s="50"/>
      <c r="B8" s="50"/>
      <c r="C8" s="50"/>
      <c r="D8" s="50"/>
      <c r="E8" s="50"/>
      <c r="F8" s="50"/>
      <c r="G8" s="22"/>
      <c r="H8" s="66" t="s">
        <v>44</v>
      </c>
      <c r="I8" s="67">
        <v>0.5</v>
      </c>
      <c r="J8" s="189">
        <f t="shared" si="0"/>
        <v>25</v>
      </c>
      <c r="K8" s="68">
        <v>3</v>
      </c>
      <c r="L8" s="68">
        <v>10</v>
      </c>
      <c r="M8" s="16"/>
      <c r="N8" s="69">
        <v>0</v>
      </c>
      <c r="O8" s="72">
        <f t="shared" si="1"/>
        <v>0</v>
      </c>
      <c r="P8" s="68"/>
      <c r="Q8" s="68"/>
      <c r="R8" s="16"/>
      <c r="S8" s="70">
        <v>50</v>
      </c>
      <c r="T8" s="70">
        <f t="shared" si="2"/>
        <v>750</v>
      </c>
      <c r="U8" s="71">
        <f t="shared" si="3"/>
        <v>30</v>
      </c>
      <c r="V8" s="25"/>
      <c r="W8" s="49"/>
      <c r="X8" s="80"/>
      <c r="Y8" s="58">
        <f>I94</f>
        <v>0</v>
      </c>
      <c r="Z8" s="43">
        <v>5</v>
      </c>
      <c r="AA8" s="11">
        <f>V87</f>
        <v>27285</v>
      </c>
      <c r="AB8" s="11">
        <f>W87</f>
        <v>459</v>
      </c>
      <c r="AC8" s="12">
        <f>X87</f>
        <v>59.444444444444443</v>
      </c>
      <c r="AD8" s="39"/>
      <c r="AE8" s="36"/>
      <c r="AF8" s="36"/>
      <c r="AG8" s="36"/>
      <c r="AH8" s="36"/>
      <c r="AI8" s="36"/>
      <c r="AJ8" s="36"/>
      <c r="AK8" s="36"/>
      <c r="AL8" s="36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</row>
    <row r="9" spans="1:51" ht="14.25" customHeight="1" thickBot="1" x14ac:dyDescent="0.3">
      <c r="A9" s="50"/>
      <c r="B9" s="50"/>
      <c r="C9" s="50"/>
      <c r="D9" s="50"/>
      <c r="E9" s="50"/>
      <c r="F9" s="50"/>
      <c r="G9" s="126"/>
      <c r="H9" s="13" t="s">
        <v>45</v>
      </c>
      <c r="I9" s="14">
        <v>0.5</v>
      </c>
      <c r="J9" s="190">
        <f t="shared" si="0"/>
        <v>32.5</v>
      </c>
      <c r="K9" s="15">
        <v>3</v>
      </c>
      <c r="L9" s="15">
        <v>10</v>
      </c>
      <c r="M9" s="16"/>
      <c r="N9" s="17">
        <v>0</v>
      </c>
      <c r="O9" s="24">
        <f t="shared" si="1"/>
        <v>0</v>
      </c>
      <c r="P9" s="15"/>
      <c r="Q9" s="15"/>
      <c r="R9" s="16"/>
      <c r="S9" s="19">
        <v>65</v>
      </c>
      <c r="T9" s="19">
        <f t="shared" si="2"/>
        <v>975</v>
      </c>
      <c r="U9" s="18">
        <f t="shared" si="3"/>
        <v>30</v>
      </c>
      <c r="V9" s="127"/>
      <c r="W9" s="128"/>
      <c r="X9" s="80"/>
      <c r="Y9" s="58">
        <f>I115</f>
        <v>0</v>
      </c>
      <c r="Z9" s="44">
        <v>6</v>
      </c>
      <c r="AA9" s="20">
        <f>V108</f>
        <v>28642.5</v>
      </c>
      <c r="AB9" s="20">
        <f>W108</f>
        <v>432</v>
      </c>
      <c r="AC9" s="21">
        <f>X108</f>
        <v>66.302083333333329</v>
      </c>
      <c r="AD9" s="39"/>
      <c r="AE9" s="36"/>
      <c r="AF9" s="36"/>
      <c r="AG9" s="36"/>
      <c r="AH9" s="36"/>
      <c r="AI9" s="36"/>
      <c r="AJ9" s="36"/>
      <c r="AK9" s="36"/>
      <c r="AL9" s="36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</row>
    <row r="10" spans="1:51" ht="15.75" thickTop="1" x14ac:dyDescent="0.25">
      <c r="A10" s="50"/>
      <c r="B10" s="50"/>
      <c r="C10" s="50"/>
      <c r="D10" s="50"/>
      <c r="E10" s="50"/>
      <c r="F10" s="50"/>
      <c r="G10" s="129"/>
      <c r="H10" s="130"/>
      <c r="I10" s="131">
        <v>0</v>
      </c>
      <c r="J10" s="191"/>
      <c r="K10" s="132"/>
      <c r="L10" s="133"/>
      <c r="M10" s="133"/>
      <c r="N10" s="134">
        <v>0</v>
      </c>
      <c r="O10" s="135"/>
      <c r="P10" s="136"/>
      <c r="Q10" s="137"/>
      <c r="R10" s="133"/>
      <c r="S10" s="138"/>
      <c r="T10" s="139"/>
      <c r="U10" s="140"/>
      <c r="V10" s="141"/>
      <c r="W10" s="142"/>
      <c r="X10" s="80"/>
      <c r="Y10" s="58">
        <f>I136</f>
        <v>0.02</v>
      </c>
      <c r="Z10" s="42">
        <v>7</v>
      </c>
      <c r="AA10" s="9">
        <f>V129</f>
        <v>25610.639999999999</v>
      </c>
      <c r="AB10" s="9">
        <f>W129</f>
        <v>535</v>
      </c>
      <c r="AC10" s="10">
        <f>X129</f>
        <v>47.870355140186916</v>
      </c>
      <c r="AD10" s="39"/>
      <c r="AE10" s="36"/>
      <c r="AF10" s="36"/>
      <c r="AG10" s="36"/>
      <c r="AH10" s="36"/>
      <c r="AI10" s="36"/>
      <c r="AJ10" s="36"/>
      <c r="AK10" s="36"/>
      <c r="AL10" s="36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</row>
    <row r="11" spans="1:51" x14ac:dyDescent="0.25">
      <c r="A11" s="50"/>
      <c r="B11" s="50"/>
      <c r="C11" s="50"/>
      <c r="D11" s="50"/>
      <c r="E11" s="50"/>
      <c r="F11" s="50"/>
      <c r="G11" s="143">
        <f>G4+2</f>
        <v>43474</v>
      </c>
      <c r="H11" s="66" t="s">
        <v>46</v>
      </c>
      <c r="I11" s="67">
        <v>0.45</v>
      </c>
      <c r="J11" s="187">
        <f t="shared" ref="J11:J16" si="4">S11*I11</f>
        <v>63</v>
      </c>
      <c r="K11" s="68">
        <v>3</v>
      </c>
      <c r="L11" s="68">
        <v>8</v>
      </c>
      <c r="M11" s="16"/>
      <c r="N11" s="69">
        <v>0</v>
      </c>
      <c r="O11" s="72"/>
      <c r="P11" s="68"/>
      <c r="Q11" s="68"/>
      <c r="R11" s="16"/>
      <c r="S11" s="70">
        <v>140</v>
      </c>
      <c r="T11" s="70">
        <f>K11*L11*J11+O11*P11*Q11</f>
        <v>1512</v>
      </c>
      <c r="U11" s="71">
        <f>K11*L11+P11*Q11</f>
        <v>24</v>
      </c>
      <c r="V11" s="123">
        <f>T11+T12+T13+T14+T15+T16</f>
        <v>8659.5</v>
      </c>
      <c r="W11" s="144">
        <f>U11+U12+U13+U14+U15+U16</f>
        <v>179</v>
      </c>
      <c r="X11" s="80"/>
      <c r="Y11" s="58">
        <f>I157</f>
        <v>0.02</v>
      </c>
      <c r="Z11" s="43">
        <v>8</v>
      </c>
      <c r="AA11" s="11">
        <f>V150</f>
        <v>28363.45</v>
      </c>
      <c r="AB11" s="11">
        <f>W150</f>
        <v>459</v>
      </c>
      <c r="AC11" s="12">
        <f>X150</f>
        <v>61.794008714596949</v>
      </c>
      <c r="AD11" s="39"/>
      <c r="AE11" s="36"/>
      <c r="AF11" s="36"/>
      <c r="AG11" s="36"/>
      <c r="AH11" s="36"/>
      <c r="AI11" s="36"/>
      <c r="AJ11" s="36"/>
      <c r="AK11" s="36"/>
      <c r="AL11" s="36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</row>
    <row r="12" spans="1:51" ht="15.75" thickBot="1" x14ac:dyDescent="0.3">
      <c r="A12" s="50"/>
      <c r="B12" s="50"/>
      <c r="C12" s="50"/>
      <c r="D12" s="50"/>
      <c r="E12" s="50"/>
      <c r="F12" s="50"/>
      <c r="G12" s="22"/>
      <c r="H12" s="13" t="s">
        <v>47</v>
      </c>
      <c r="I12" s="14">
        <v>0.5</v>
      </c>
      <c r="J12" s="192">
        <f>S12*I12</f>
        <v>45</v>
      </c>
      <c r="K12" s="15">
        <v>3</v>
      </c>
      <c r="L12" s="15">
        <v>5</v>
      </c>
      <c r="M12" s="16"/>
      <c r="N12" s="17">
        <v>0.6</v>
      </c>
      <c r="O12" s="24">
        <f t="shared" ref="O12:O16" si="5">S12*N12</f>
        <v>54</v>
      </c>
      <c r="P12" s="15">
        <v>2</v>
      </c>
      <c r="Q12" s="15">
        <v>5</v>
      </c>
      <c r="R12" s="16"/>
      <c r="S12" s="19">
        <v>90</v>
      </c>
      <c r="T12" s="19">
        <f>K12*L12*J12+O12*P12*Q12</f>
        <v>1215</v>
      </c>
      <c r="U12" s="18">
        <f t="shared" ref="U12:U16" si="6">K12*L12+P12*Q12</f>
        <v>25</v>
      </c>
      <c r="V12" s="25"/>
      <c r="W12" s="26"/>
      <c r="X12" s="80"/>
      <c r="Y12" s="58">
        <f>I178</f>
        <v>0.03</v>
      </c>
      <c r="Z12" s="44">
        <v>9</v>
      </c>
      <c r="AA12" s="20">
        <f>V171</f>
        <v>29875.35</v>
      </c>
      <c r="AB12" s="20">
        <f>W171</f>
        <v>432</v>
      </c>
      <c r="AC12" s="21">
        <f>X171</f>
        <v>69.155902777777769</v>
      </c>
      <c r="AD12" s="39"/>
      <c r="AE12" s="36"/>
      <c r="AF12" s="36"/>
      <c r="AG12" s="36"/>
      <c r="AH12" s="36"/>
      <c r="AI12" s="36"/>
      <c r="AJ12" s="36"/>
      <c r="AK12" s="36"/>
      <c r="AL12" s="36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</row>
    <row r="13" spans="1:51" ht="15.75" thickTop="1" x14ac:dyDescent="0.25">
      <c r="A13" s="50"/>
      <c r="B13" s="50"/>
      <c r="C13" s="50"/>
      <c r="D13" s="50"/>
      <c r="E13" s="50"/>
      <c r="F13" s="50"/>
      <c r="G13" s="22"/>
      <c r="H13" s="66" t="s">
        <v>41</v>
      </c>
      <c r="I13" s="67">
        <v>0.45</v>
      </c>
      <c r="J13" s="193">
        <f t="shared" si="4"/>
        <v>60.75</v>
      </c>
      <c r="K13" s="68">
        <v>3</v>
      </c>
      <c r="L13" s="68">
        <v>10</v>
      </c>
      <c r="M13" s="16"/>
      <c r="N13" s="69">
        <v>0.6</v>
      </c>
      <c r="O13" s="72">
        <f t="shared" si="5"/>
        <v>81</v>
      </c>
      <c r="P13" s="68">
        <v>2</v>
      </c>
      <c r="Q13" s="68">
        <v>5</v>
      </c>
      <c r="R13" s="16"/>
      <c r="S13" s="70">
        <v>135</v>
      </c>
      <c r="T13" s="70">
        <f t="shared" ref="T13:T16" si="7">K13*L13*J13+O13*P13*Q13</f>
        <v>2632.5</v>
      </c>
      <c r="U13" s="71">
        <f t="shared" si="6"/>
        <v>40</v>
      </c>
      <c r="V13" s="25"/>
      <c r="W13" s="26"/>
      <c r="X13" s="80"/>
      <c r="Y13" s="58">
        <f>I199</f>
        <v>0.03</v>
      </c>
      <c r="Z13" s="42">
        <v>10</v>
      </c>
      <c r="AA13" s="9">
        <f>V192</f>
        <v>26479.214999999997</v>
      </c>
      <c r="AB13" s="9">
        <f>W192</f>
        <v>535</v>
      </c>
      <c r="AC13" s="10">
        <f>X192</f>
        <v>49.493859813084107</v>
      </c>
      <c r="AD13" s="46">
        <f>AA13-AA4</f>
        <v>2561.7149999999965</v>
      </c>
      <c r="AE13" s="46">
        <f>AC13-AC4</f>
        <v>4.7882523364485934</v>
      </c>
      <c r="AF13" s="36"/>
      <c r="AG13" s="40"/>
      <c r="AH13" s="40"/>
      <c r="AI13" s="36"/>
      <c r="AJ13" s="36"/>
      <c r="AK13" s="36"/>
      <c r="AL13" s="36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</row>
    <row r="14" spans="1:51" x14ac:dyDescent="0.25">
      <c r="A14" s="50"/>
      <c r="B14" s="50"/>
      <c r="C14" s="50"/>
      <c r="D14" s="50"/>
      <c r="E14" s="50"/>
      <c r="F14" s="50"/>
      <c r="G14" s="22"/>
      <c r="H14" s="13" t="s">
        <v>48</v>
      </c>
      <c r="I14" s="14">
        <v>0.5</v>
      </c>
      <c r="J14" s="190">
        <f t="shared" si="4"/>
        <v>60</v>
      </c>
      <c r="K14" s="15">
        <v>3</v>
      </c>
      <c r="L14" s="15">
        <v>10</v>
      </c>
      <c r="M14" s="16"/>
      <c r="N14" s="17">
        <v>0</v>
      </c>
      <c r="O14" s="24">
        <f t="shared" si="5"/>
        <v>0</v>
      </c>
      <c r="P14" s="15"/>
      <c r="Q14" s="15"/>
      <c r="R14" s="16"/>
      <c r="S14" s="19">
        <v>120</v>
      </c>
      <c r="T14" s="19">
        <f t="shared" si="7"/>
        <v>1800</v>
      </c>
      <c r="U14" s="18">
        <f t="shared" si="6"/>
        <v>30</v>
      </c>
      <c r="V14" s="25"/>
      <c r="W14" s="26"/>
      <c r="X14" s="80"/>
      <c r="Y14" s="58">
        <f>I220</f>
        <v>0.04</v>
      </c>
      <c r="Z14" s="43">
        <v>11</v>
      </c>
      <c r="AA14" s="11">
        <f>V213</f>
        <v>29463.5</v>
      </c>
      <c r="AB14" s="11">
        <f>W213</f>
        <v>459</v>
      </c>
      <c r="AC14" s="12">
        <f>X213</f>
        <v>64.190631808278866</v>
      </c>
      <c r="AD14" s="47">
        <f>AA14-AA5</f>
        <v>2617.25</v>
      </c>
      <c r="AE14" s="47">
        <f>AC14-AC5</f>
        <v>5.7020697167755969</v>
      </c>
      <c r="AF14" s="36"/>
      <c r="AG14" s="40"/>
      <c r="AH14" s="40"/>
      <c r="AI14" s="36"/>
      <c r="AJ14" s="36"/>
      <c r="AK14" s="36"/>
      <c r="AL14" s="36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</row>
    <row r="15" spans="1:51" ht="15.75" thickBot="1" x14ac:dyDescent="0.3">
      <c r="A15" s="50"/>
      <c r="B15" s="50"/>
      <c r="C15" s="50"/>
      <c r="D15" s="50"/>
      <c r="E15" s="50"/>
      <c r="F15" s="50"/>
      <c r="G15" s="22"/>
      <c r="H15" s="66" t="s">
        <v>49</v>
      </c>
      <c r="I15" s="67">
        <v>0.5</v>
      </c>
      <c r="J15" s="193">
        <f t="shared" si="4"/>
        <v>30</v>
      </c>
      <c r="K15" s="68">
        <v>3</v>
      </c>
      <c r="L15" s="68">
        <v>10</v>
      </c>
      <c r="M15" s="16"/>
      <c r="N15" s="69"/>
      <c r="O15" s="72">
        <f t="shared" si="5"/>
        <v>0</v>
      </c>
      <c r="P15" s="68"/>
      <c r="Q15" s="68"/>
      <c r="R15" s="16"/>
      <c r="S15" s="70">
        <v>60</v>
      </c>
      <c r="T15" s="70">
        <f t="shared" si="7"/>
        <v>900</v>
      </c>
      <c r="U15" s="71">
        <f t="shared" si="6"/>
        <v>30</v>
      </c>
      <c r="V15" s="25"/>
      <c r="W15" s="26"/>
      <c r="X15" s="80"/>
      <c r="Y15" s="58">
        <f>I248</f>
        <v>0.05</v>
      </c>
      <c r="Z15" s="44">
        <v>12</v>
      </c>
      <c r="AA15" s="20">
        <f>V234</f>
        <v>30869.7</v>
      </c>
      <c r="AB15" s="20">
        <f>W234</f>
        <v>432</v>
      </c>
      <c r="AC15" s="21">
        <f>X234</f>
        <v>71.457638888888894</v>
      </c>
      <c r="AD15" s="48">
        <f>AA15-AA6</f>
        <v>2679.3000000000029</v>
      </c>
      <c r="AE15" s="48">
        <f>AC15-AC6</f>
        <v>6.2020833333333485</v>
      </c>
      <c r="AF15" s="36"/>
      <c r="AG15" s="40"/>
      <c r="AH15" s="40"/>
      <c r="AI15" s="36"/>
      <c r="AJ15" s="36"/>
      <c r="AK15" s="36"/>
      <c r="AL15" s="36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</row>
    <row r="16" spans="1:51" s="29" customFormat="1" ht="15" customHeight="1" thickTop="1" x14ac:dyDescent="0.25">
      <c r="A16" s="50"/>
      <c r="B16" s="50"/>
      <c r="C16" s="50"/>
      <c r="D16" s="50"/>
      <c r="E16" s="50"/>
      <c r="F16" s="50"/>
      <c r="G16" s="145"/>
      <c r="H16" s="13" t="s">
        <v>50</v>
      </c>
      <c r="I16" s="14">
        <v>0.5</v>
      </c>
      <c r="J16" s="190">
        <f t="shared" si="4"/>
        <v>20</v>
      </c>
      <c r="K16" s="15">
        <v>3</v>
      </c>
      <c r="L16" s="15">
        <v>10</v>
      </c>
      <c r="M16" s="16"/>
      <c r="N16" s="17">
        <v>0</v>
      </c>
      <c r="O16" s="24">
        <f t="shared" si="5"/>
        <v>0</v>
      </c>
      <c r="P16" s="15"/>
      <c r="Q16" s="15"/>
      <c r="R16" s="16"/>
      <c r="S16" s="19">
        <v>40</v>
      </c>
      <c r="T16" s="19">
        <f t="shared" si="7"/>
        <v>600</v>
      </c>
      <c r="U16" s="18">
        <f t="shared" si="6"/>
        <v>30</v>
      </c>
      <c r="V16" s="127"/>
      <c r="W16" s="146"/>
      <c r="X16" s="80"/>
      <c r="Y16" s="36"/>
      <c r="Z16" s="27" t="s">
        <v>23</v>
      </c>
      <c r="AA16" s="28">
        <f>AA4+AA5+AA6+AA7+AA8+AA9+AA10+AA11+AA12+AA13+AA14+AA15</f>
        <v>329861.505</v>
      </c>
      <c r="AB16" s="28">
        <f>AB4+AB5+AB6+AB7+AB8+AB9+AB10+AB11+AB12+AB13+AB14+AB15</f>
        <v>5704</v>
      </c>
      <c r="AC16" s="28">
        <f>AVERAGE(AC4:AC15)</f>
        <v>58.63440463764686</v>
      </c>
      <c r="AD16" s="51">
        <f>AD15+AD14+AD13</f>
        <v>7858.2649999999994</v>
      </c>
      <c r="AE16" s="28">
        <f>AE13+AE14+AE15</f>
        <v>16.692405386557539</v>
      </c>
      <c r="AF16" s="40"/>
      <c r="AG16" s="40"/>
      <c r="AH16" s="147"/>
      <c r="AI16" s="40"/>
      <c r="AJ16" s="40"/>
      <c r="AK16" s="40"/>
      <c r="AL16" s="40"/>
    </row>
    <row r="17" spans="1:51" ht="15.75" x14ac:dyDescent="0.25">
      <c r="A17" s="50"/>
      <c r="B17" s="50"/>
      <c r="C17" s="50"/>
      <c r="D17" s="50"/>
      <c r="E17" s="50"/>
      <c r="F17" s="50"/>
      <c r="G17" s="129"/>
      <c r="H17" s="130"/>
      <c r="I17" s="131">
        <v>0</v>
      </c>
      <c r="J17" s="191"/>
      <c r="K17" s="133"/>
      <c r="L17" s="133"/>
      <c r="M17" s="133"/>
      <c r="N17" s="134">
        <v>0</v>
      </c>
      <c r="O17" s="135"/>
      <c r="P17" s="136"/>
      <c r="Q17" s="137"/>
      <c r="R17" s="133"/>
      <c r="S17" s="148"/>
      <c r="T17" s="139"/>
      <c r="U17" s="140"/>
      <c r="V17" s="141"/>
      <c r="W17" s="142"/>
      <c r="X17" s="80"/>
      <c r="Y17" s="36"/>
      <c r="Z17" s="52" t="s">
        <v>66</v>
      </c>
      <c r="AA17" s="55">
        <f>S235-S4</f>
        <v>5.5</v>
      </c>
      <c r="AB17" s="56" t="s">
        <v>0</v>
      </c>
      <c r="AC17" s="40" t="s">
        <v>39</v>
      </c>
      <c r="AD17" s="36"/>
      <c r="AE17" s="36"/>
      <c r="AF17" s="36"/>
      <c r="AG17" s="36"/>
      <c r="AH17" s="147"/>
      <c r="AI17" s="36"/>
      <c r="AJ17" s="36"/>
      <c r="AK17" s="36"/>
      <c r="AL17" s="36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</row>
    <row r="18" spans="1:51" x14ac:dyDescent="0.25">
      <c r="A18" s="50"/>
      <c r="B18" s="50"/>
      <c r="C18" s="50"/>
      <c r="D18" s="50"/>
      <c r="E18" s="50"/>
      <c r="F18" s="50"/>
      <c r="G18" s="121">
        <f>G11+2</f>
        <v>43476</v>
      </c>
      <c r="H18" s="66" t="s">
        <v>51</v>
      </c>
      <c r="I18" s="67">
        <v>0.5</v>
      </c>
      <c r="J18" s="193">
        <f t="shared" ref="J18:J23" si="8">S18*I18</f>
        <v>50</v>
      </c>
      <c r="K18" s="68">
        <v>3</v>
      </c>
      <c r="L18" s="68">
        <v>8</v>
      </c>
      <c r="M18" s="16"/>
      <c r="N18" s="69">
        <v>0</v>
      </c>
      <c r="O18" s="72">
        <f t="shared" ref="O18:O23" si="9">S18*N18</f>
        <v>0</v>
      </c>
      <c r="P18" s="68"/>
      <c r="Q18" s="68"/>
      <c r="R18" s="16"/>
      <c r="S18" s="70">
        <v>100</v>
      </c>
      <c r="T18" s="70">
        <f>K18*L18*J18+O18*P18*Q18</f>
        <v>1200</v>
      </c>
      <c r="U18" s="71">
        <f>K18*L18+P18*Q18</f>
        <v>24</v>
      </c>
      <c r="V18" s="123">
        <f>T18+T19+T20+T21+T22+T23</f>
        <v>6255</v>
      </c>
      <c r="W18" s="144">
        <f>U18+U19+U20+U21+U22+U23</f>
        <v>172</v>
      </c>
      <c r="X18" s="80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</row>
    <row r="19" spans="1:51" x14ac:dyDescent="0.25">
      <c r="A19" s="50"/>
      <c r="B19" s="50"/>
      <c r="C19" s="50"/>
      <c r="D19" s="50"/>
      <c r="E19" s="50"/>
      <c r="F19" s="50"/>
      <c r="G19" s="22"/>
      <c r="H19" s="13" t="s">
        <v>52</v>
      </c>
      <c r="I19" s="14">
        <v>0.5</v>
      </c>
      <c r="J19" s="190">
        <f t="shared" si="8"/>
        <v>65</v>
      </c>
      <c r="K19" s="15">
        <v>3</v>
      </c>
      <c r="L19" s="15">
        <v>6</v>
      </c>
      <c r="M19" s="16"/>
      <c r="N19" s="17">
        <v>0</v>
      </c>
      <c r="O19" s="24">
        <f t="shared" si="9"/>
        <v>0</v>
      </c>
      <c r="P19" s="15"/>
      <c r="Q19" s="15"/>
      <c r="R19" s="16"/>
      <c r="S19" s="19">
        <v>130</v>
      </c>
      <c r="T19" s="19">
        <f t="shared" ref="T19:T23" si="10">K19*L19*J19+O19*P19*Q19</f>
        <v>1170</v>
      </c>
      <c r="U19" s="18">
        <f t="shared" ref="U19:U23" si="11">K19*L19+P19*Q19</f>
        <v>18</v>
      </c>
      <c r="V19" s="25"/>
      <c r="W19" s="26"/>
      <c r="X19" s="80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</row>
    <row r="20" spans="1:51" x14ac:dyDescent="0.25">
      <c r="A20" s="50"/>
      <c r="B20" s="50"/>
      <c r="C20" s="50"/>
      <c r="D20" s="50"/>
      <c r="E20" s="50"/>
      <c r="F20" s="50"/>
      <c r="G20" s="22"/>
      <c r="H20" s="66" t="s">
        <v>53</v>
      </c>
      <c r="I20" s="67">
        <v>0.5</v>
      </c>
      <c r="J20" s="193">
        <f t="shared" si="8"/>
        <v>22.5</v>
      </c>
      <c r="K20" s="68">
        <v>3</v>
      </c>
      <c r="L20" s="68">
        <v>10</v>
      </c>
      <c r="M20" s="16"/>
      <c r="N20" s="69">
        <v>0</v>
      </c>
      <c r="O20" s="72">
        <f t="shared" si="9"/>
        <v>0</v>
      </c>
      <c r="P20" s="68"/>
      <c r="Q20" s="68"/>
      <c r="R20" s="16"/>
      <c r="S20" s="70">
        <v>45</v>
      </c>
      <c r="T20" s="70">
        <f t="shared" si="10"/>
        <v>675</v>
      </c>
      <c r="U20" s="71">
        <f t="shared" si="11"/>
        <v>30</v>
      </c>
      <c r="V20" s="25"/>
      <c r="W20" s="26"/>
      <c r="X20" s="80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</row>
    <row r="21" spans="1:51" x14ac:dyDescent="0.25">
      <c r="A21" s="50"/>
      <c r="B21" s="50"/>
      <c r="C21" s="50"/>
      <c r="D21" s="50"/>
      <c r="E21" s="50"/>
      <c r="F21" s="50"/>
      <c r="G21" s="22"/>
      <c r="H21" s="13" t="s">
        <v>54</v>
      </c>
      <c r="I21" s="14">
        <v>0.5</v>
      </c>
      <c r="J21" s="190">
        <f t="shared" si="8"/>
        <v>30</v>
      </c>
      <c r="K21" s="15">
        <v>3</v>
      </c>
      <c r="L21" s="15">
        <v>10</v>
      </c>
      <c r="M21" s="16"/>
      <c r="N21" s="17">
        <v>0</v>
      </c>
      <c r="O21" s="24">
        <f t="shared" si="9"/>
        <v>0</v>
      </c>
      <c r="P21" s="15"/>
      <c r="Q21" s="15"/>
      <c r="R21" s="16"/>
      <c r="S21" s="19">
        <v>60</v>
      </c>
      <c r="T21" s="19">
        <f t="shared" si="10"/>
        <v>900</v>
      </c>
      <c r="U21" s="18">
        <f t="shared" si="11"/>
        <v>30</v>
      </c>
      <c r="V21" s="25"/>
      <c r="W21" s="26"/>
      <c r="X21" s="80"/>
      <c r="Y21" s="36"/>
      <c r="Z21" s="149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</row>
    <row r="22" spans="1:51" x14ac:dyDescent="0.25">
      <c r="A22" s="50"/>
      <c r="B22" s="50"/>
      <c r="C22" s="50"/>
      <c r="D22" s="50"/>
      <c r="E22" s="50"/>
      <c r="F22" s="50"/>
      <c r="G22" s="22"/>
      <c r="H22" s="66" t="s">
        <v>55</v>
      </c>
      <c r="I22" s="67">
        <v>0.5</v>
      </c>
      <c r="J22" s="193">
        <f t="shared" si="8"/>
        <v>30</v>
      </c>
      <c r="K22" s="68">
        <v>3</v>
      </c>
      <c r="L22" s="68">
        <v>10</v>
      </c>
      <c r="M22" s="16"/>
      <c r="N22" s="69">
        <v>0.6</v>
      </c>
      <c r="O22" s="72">
        <f t="shared" si="9"/>
        <v>36</v>
      </c>
      <c r="P22" s="68">
        <v>2</v>
      </c>
      <c r="Q22" s="68">
        <v>5</v>
      </c>
      <c r="R22" s="16"/>
      <c r="S22" s="70">
        <v>60</v>
      </c>
      <c r="T22" s="70">
        <f t="shared" si="10"/>
        <v>1260</v>
      </c>
      <c r="U22" s="71">
        <f t="shared" si="11"/>
        <v>40</v>
      </c>
      <c r="V22" s="25"/>
      <c r="W22" s="26"/>
      <c r="X22" s="80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</row>
    <row r="23" spans="1:51" ht="15" customHeight="1" x14ac:dyDescent="0.25">
      <c r="A23" s="50"/>
      <c r="B23" s="50"/>
      <c r="C23" s="50"/>
      <c r="D23" s="50"/>
      <c r="E23" s="50"/>
      <c r="F23" s="50"/>
      <c r="G23" s="126"/>
      <c r="H23" s="13" t="s">
        <v>56</v>
      </c>
      <c r="I23" s="14">
        <v>0.5</v>
      </c>
      <c r="J23" s="190">
        <f t="shared" si="8"/>
        <v>35</v>
      </c>
      <c r="K23" s="15">
        <v>3</v>
      </c>
      <c r="L23" s="15">
        <v>10</v>
      </c>
      <c r="M23" s="16"/>
      <c r="N23" s="17">
        <v>0</v>
      </c>
      <c r="O23" s="24">
        <f t="shared" si="9"/>
        <v>0</v>
      </c>
      <c r="P23" s="15"/>
      <c r="Q23" s="15"/>
      <c r="R23" s="16"/>
      <c r="S23" s="19">
        <v>70</v>
      </c>
      <c r="T23" s="19">
        <f t="shared" si="10"/>
        <v>1050</v>
      </c>
      <c r="U23" s="18">
        <f t="shared" si="11"/>
        <v>30</v>
      </c>
      <c r="V23" s="127"/>
      <c r="W23" s="146"/>
      <c r="X23" s="80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</row>
    <row r="24" spans="1:51" x14ac:dyDescent="0.25">
      <c r="A24" s="50"/>
      <c r="B24" s="50"/>
      <c r="C24" s="50"/>
      <c r="D24" s="50"/>
      <c r="E24" s="50"/>
      <c r="F24" s="50"/>
      <c r="G24" s="150" t="s">
        <v>8</v>
      </c>
      <c r="H24" s="151"/>
      <c r="I24" s="151"/>
      <c r="J24" s="194"/>
      <c r="K24" s="151"/>
      <c r="L24" s="151"/>
      <c r="M24" s="151"/>
      <c r="N24" s="151"/>
      <c r="O24" s="151"/>
      <c r="P24" s="151"/>
      <c r="Q24" s="151"/>
      <c r="R24" s="151"/>
      <c r="S24" s="152"/>
      <c r="T24" s="151"/>
      <c r="U24" s="151"/>
      <c r="V24" s="114">
        <f>V25+V32+V39</f>
        <v>26846.25</v>
      </c>
      <c r="W24" s="114">
        <f>W25+W32+W39</f>
        <v>459</v>
      </c>
      <c r="X24" s="115">
        <f>V24/W24</f>
        <v>58.488562091503269</v>
      </c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</row>
    <row r="25" spans="1:51" ht="16.5" customHeight="1" x14ac:dyDescent="0.25">
      <c r="A25" s="50"/>
      <c r="B25" s="50"/>
      <c r="C25" s="50"/>
      <c r="D25" s="50"/>
      <c r="E25" s="50"/>
      <c r="F25" s="50"/>
      <c r="G25" s="121">
        <f>G18+3</f>
        <v>43479</v>
      </c>
      <c r="H25" s="73" t="s">
        <v>40</v>
      </c>
      <c r="I25" s="74">
        <v>0.60000000000000009</v>
      </c>
      <c r="J25" s="195">
        <f t="shared" ref="J25:J30" si="12">S25*I25</f>
        <v>90.300000000000011</v>
      </c>
      <c r="K25" s="75">
        <v>3</v>
      </c>
      <c r="L25" s="75">
        <v>5</v>
      </c>
      <c r="M25" s="16"/>
      <c r="N25" s="76">
        <v>0.7</v>
      </c>
      <c r="O25" s="77">
        <f>S25*N25</f>
        <v>105.35</v>
      </c>
      <c r="P25" s="75">
        <v>3</v>
      </c>
      <c r="Q25" s="75">
        <v>5</v>
      </c>
      <c r="R25" s="16"/>
      <c r="S25" s="78">
        <f t="shared" ref="S25:S88" si="13">S4+0.5</f>
        <v>150.5</v>
      </c>
      <c r="T25" s="78">
        <f>K25*L25*J25+O25*P25*Q25</f>
        <v>2934.75</v>
      </c>
      <c r="U25" s="79">
        <f>K25*L25+P25*Q25</f>
        <v>30</v>
      </c>
      <c r="V25" s="123">
        <f>T25+T26+T27+T28+T29+T30</f>
        <v>10431.75</v>
      </c>
      <c r="W25" s="144">
        <f>U25+U26+U27+U28+U29+U30</f>
        <v>165</v>
      </c>
      <c r="X25" s="37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</row>
    <row r="26" spans="1:51" x14ac:dyDescent="0.25">
      <c r="A26" s="50"/>
      <c r="B26" s="50"/>
      <c r="C26" s="50"/>
      <c r="D26" s="50"/>
      <c r="E26" s="50"/>
      <c r="F26" s="50"/>
      <c r="G26" s="22"/>
      <c r="H26" s="13" t="s">
        <v>41</v>
      </c>
      <c r="I26" s="14">
        <v>0.60000000000000009</v>
      </c>
      <c r="J26" s="190">
        <f t="shared" si="12"/>
        <v>81.300000000000011</v>
      </c>
      <c r="K26" s="15">
        <v>3</v>
      </c>
      <c r="L26" s="15">
        <v>5</v>
      </c>
      <c r="M26" s="16"/>
      <c r="N26" s="17">
        <v>0.7</v>
      </c>
      <c r="O26" s="24">
        <f t="shared" ref="O26:O30" si="14">S26*N26</f>
        <v>94.85</v>
      </c>
      <c r="P26" s="15">
        <v>3</v>
      </c>
      <c r="Q26" s="15">
        <v>5</v>
      </c>
      <c r="R26" s="16"/>
      <c r="S26" s="19">
        <f t="shared" si="13"/>
        <v>135.5</v>
      </c>
      <c r="T26" s="19">
        <f t="shared" ref="T26:T30" si="15">K26*L26*J26+O26*P26*Q26</f>
        <v>2642.25</v>
      </c>
      <c r="U26" s="18">
        <f t="shared" ref="U26:U44" si="16">K26*L26+P26*Q26</f>
        <v>30</v>
      </c>
      <c r="V26" s="25"/>
      <c r="W26" s="26"/>
      <c r="X26" s="37"/>
      <c r="Y26" s="36"/>
      <c r="Z26" s="57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</row>
    <row r="27" spans="1:51" x14ac:dyDescent="0.25">
      <c r="A27" s="50"/>
      <c r="B27" s="50"/>
      <c r="C27" s="50"/>
      <c r="D27" s="50"/>
      <c r="E27" s="50"/>
      <c r="F27" s="50"/>
      <c r="G27" s="22"/>
      <c r="H27" s="73" t="s">
        <v>42</v>
      </c>
      <c r="I27" s="74">
        <v>0.60000000000000009</v>
      </c>
      <c r="J27" s="195">
        <f t="shared" si="12"/>
        <v>66.300000000000011</v>
      </c>
      <c r="K27" s="75">
        <v>5</v>
      </c>
      <c r="L27" s="75">
        <v>5</v>
      </c>
      <c r="M27" s="16"/>
      <c r="N27" s="76"/>
      <c r="O27" s="77">
        <f t="shared" si="14"/>
        <v>0</v>
      </c>
      <c r="P27" s="75"/>
      <c r="Q27" s="75"/>
      <c r="R27" s="16"/>
      <c r="S27" s="78">
        <f t="shared" si="13"/>
        <v>110.5</v>
      </c>
      <c r="T27" s="78">
        <f t="shared" si="15"/>
        <v>1657.5000000000002</v>
      </c>
      <c r="U27" s="79">
        <f t="shared" si="16"/>
        <v>25</v>
      </c>
      <c r="V27" s="25"/>
      <c r="W27" s="26"/>
      <c r="X27" s="37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</row>
    <row r="28" spans="1:51" x14ac:dyDescent="0.25">
      <c r="A28" s="50"/>
      <c r="B28" s="50"/>
      <c r="C28" s="50"/>
      <c r="D28" s="50"/>
      <c r="E28" s="50"/>
      <c r="F28" s="50"/>
      <c r="G28" s="22"/>
      <c r="H28" s="13" t="s">
        <v>43</v>
      </c>
      <c r="I28" s="14">
        <v>0.60000000000000009</v>
      </c>
      <c r="J28" s="190">
        <f t="shared" si="12"/>
        <v>48.300000000000004</v>
      </c>
      <c r="K28" s="15">
        <v>5</v>
      </c>
      <c r="L28" s="15">
        <v>5</v>
      </c>
      <c r="M28" s="16"/>
      <c r="N28" s="17"/>
      <c r="O28" s="24">
        <f t="shared" si="14"/>
        <v>0</v>
      </c>
      <c r="P28" s="15"/>
      <c r="Q28" s="15"/>
      <c r="R28" s="16"/>
      <c r="S28" s="19">
        <f t="shared" si="13"/>
        <v>80.5</v>
      </c>
      <c r="T28" s="19">
        <f t="shared" si="15"/>
        <v>1207.5</v>
      </c>
      <c r="U28" s="18">
        <f t="shared" si="16"/>
        <v>25</v>
      </c>
      <c r="V28" s="25"/>
      <c r="W28" s="26"/>
      <c r="X28" s="37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</row>
    <row r="29" spans="1:51" x14ac:dyDescent="0.25">
      <c r="A29" s="50"/>
      <c r="B29" s="50"/>
      <c r="C29" s="50"/>
      <c r="D29" s="50"/>
      <c r="E29" s="50"/>
      <c r="F29" s="50"/>
      <c r="G29" s="22"/>
      <c r="H29" s="73" t="s">
        <v>44</v>
      </c>
      <c r="I29" s="74">
        <v>0.60000000000000009</v>
      </c>
      <c r="J29" s="195">
        <f t="shared" si="12"/>
        <v>30.300000000000004</v>
      </c>
      <c r="K29" s="75">
        <v>3</v>
      </c>
      <c r="L29" s="75">
        <v>10</v>
      </c>
      <c r="M29" s="16"/>
      <c r="N29" s="76"/>
      <c r="O29" s="77">
        <f t="shared" si="14"/>
        <v>0</v>
      </c>
      <c r="P29" s="75"/>
      <c r="Q29" s="75"/>
      <c r="R29" s="16"/>
      <c r="S29" s="78">
        <f t="shared" si="13"/>
        <v>50.5</v>
      </c>
      <c r="T29" s="78">
        <f t="shared" si="15"/>
        <v>909.00000000000011</v>
      </c>
      <c r="U29" s="79">
        <f t="shared" si="16"/>
        <v>30</v>
      </c>
      <c r="V29" s="25"/>
      <c r="W29" s="26"/>
      <c r="X29" s="37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</row>
    <row r="30" spans="1:51" x14ac:dyDescent="0.25">
      <c r="A30" s="50"/>
      <c r="B30" s="50"/>
      <c r="C30" s="50"/>
      <c r="D30" s="50"/>
      <c r="E30" s="50"/>
      <c r="F30" s="50"/>
      <c r="G30" s="126"/>
      <c r="H30" s="13" t="s">
        <v>45</v>
      </c>
      <c r="I30" s="14">
        <v>0.60000000000000009</v>
      </c>
      <c r="J30" s="190">
        <f t="shared" si="12"/>
        <v>39.300000000000004</v>
      </c>
      <c r="K30" s="15">
        <v>1</v>
      </c>
      <c r="L30" s="15">
        <v>10</v>
      </c>
      <c r="M30" s="16"/>
      <c r="N30" s="17">
        <v>0.7</v>
      </c>
      <c r="O30" s="24">
        <f t="shared" si="14"/>
        <v>45.849999999999994</v>
      </c>
      <c r="P30" s="15">
        <v>3</v>
      </c>
      <c r="Q30" s="15">
        <v>5</v>
      </c>
      <c r="R30" s="16"/>
      <c r="S30" s="19">
        <f t="shared" si="13"/>
        <v>65.5</v>
      </c>
      <c r="T30" s="19">
        <f t="shared" si="15"/>
        <v>1080.75</v>
      </c>
      <c r="U30" s="18">
        <f t="shared" si="16"/>
        <v>25</v>
      </c>
      <c r="V30" s="127"/>
      <c r="W30" s="146"/>
      <c r="X30" s="37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</row>
    <row r="31" spans="1:51" x14ac:dyDescent="0.25">
      <c r="A31" s="50"/>
      <c r="B31" s="50"/>
      <c r="C31" s="50"/>
      <c r="D31" s="50"/>
      <c r="E31" s="50"/>
      <c r="F31" s="50"/>
      <c r="G31" s="153"/>
      <c r="H31" s="130"/>
      <c r="I31" s="131">
        <v>0</v>
      </c>
      <c r="J31" s="191"/>
      <c r="K31" s="133"/>
      <c r="L31" s="133"/>
      <c r="M31" s="133"/>
      <c r="N31" s="134"/>
      <c r="O31" s="135"/>
      <c r="P31" s="136"/>
      <c r="Q31" s="154"/>
      <c r="R31" s="133"/>
      <c r="S31" s="155">
        <f t="shared" si="13"/>
        <v>0.5</v>
      </c>
      <c r="T31" s="155"/>
      <c r="U31" s="156"/>
      <c r="V31" s="157"/>
      <c r="W31" s="157"/>
      <c r="X31" s="37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</row>
    <row r="32" spans="1:51" ht="18.75" customHeight="1" x14ac:dyDescent="0.25">
      <c r="A32" s="50"/>
      <c r="B32" s="50"/>
      <c r="C32" s="50"/>
      <c r="D32" s="50"/>
      <c r="E32" s="50"/>
      <c r="F32" s="50"/>
      <c r="G32" s="121">
        <f>G25+2</f>
        <v>43481</v>
      </c>
      <c r="H32" s="73" t="s">
        <v>46</v>
      </c>
      <c r="I32" s="74">
        <v>0.6</v>
      </c>
      <c r="J32" s="195">
        <f t="shared" ref="J32:J37" si="17">S32*I32</f>
        <v>84.3</v>
      </c>
      <c r="K32" s="75">
        <v>5</v>
      </c>
      <c r="L32" s="75">
        <v>5</v>
      </c>
      <c r="M32" s="16"/>
      <c r="N32" s="76"/>
      <c r="O32" s="77">
        <f>S32*N32</f>
        <v>0</v>
      </c>
      <c r="P32" s="75"/>
      <c r="Q32" s="75"/>
      <c r="R32" s="16"/>
      <c r="S32" s="78">
        <f t="shared" si="13"/>
        <v>140.5</v>
      </c>
      <c r="T32" s="78">
        <f>K32*L32*J32+O32*P32*Q32</f>
        <v>2107.5</v>
      </c>
      <c r="U32" s="79">
        <f t="shared" si="16"/>
        <v>25</v>
      </c>
      <c r="V32" s="123">
        <f>T32+T33+T34+T35+T36+T37</f>
        <v>9490</v>
      </c>
      <c r="W32" s="144">
        <f>U32+U33+U34+U35+U36+U37</f>
        <v>155</v>
      </c>
      <c r="X32" s="37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</row>
    <row r="33" spans="1:51" x14ac:dyDescent="0.25">
      <c r="A33" s="50" t="s">
        <v>69</v>
      </c>
      <c r="B33" s="50"/>
      <c r="C33" s="50"/>
      <c r="D33" s="50"/>
      <c r="E33" s="50"/>
      <c r="F33" s="50"/>
      <c r="G33" s="30"/>
      <c r="H33" s="13" t="s">
        <v>47</v>
      </c>
      <c r="I33" s="14">
        <v>0.60000000000000009</v>
      </c>
      <c r="J33" s="190">
        <f t="shared" si="17"/>
        <v>54.300000000000011</v>
      </c>
      <c r="K33" s="15">
        <v>5</v>
      </c>
      <c r="L33" s="15">
        <v>5</v>
      </c>
      <c r="M33" s="16"/>
      <c r="N33" s="17"/>
      <c r="O33" s="24">
        <f t="shared" ref="O33:O37" si="18">S33*N33</f>
        <v>0</v>
      </c>
      <c r="P33" s="15"/>
      <c r="Q33" s="15"/>
      <c r="R33" s="16"/>
      <c r="S33" s="19">
        <f t="shared" si="13"/>
        <v>90.5</v>
      </c>
      <c r="T33" s="19">
        <f t="shared" ref="T33:T37" si="19">K33*L33*J33+O33*P33*Q33</f>
        <v>1357.5000000000002</v>
      </c>
      <c r="U33" s="18">
        <f t="shared" si="16"/>
        <v>25</v>
      </c>
      <c r="V33" s="25"/>
      <c r="W33" s="26"/>
      <c r="X33" s="37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</row>
    <row r="34" spans="1:51" x14ac:dyDescent="0.25">
      <c r="A34" s="50" t="s">
        <v>69</v>
      </c>
      <c r="B34" s="50"/>
      <c r="C34" s="50"/>
      <c r="D34" s="50"/>
      <c r="E34" s="50"/>
      <c r="F34" s="50"/>
      <c r="G34" s="30"/>
      <c r="H34" s="73" t="s">
        <v>41</v>
      </c>
      <c r="I34" s="74">
        <v>0.60000000000000009</v>
      </c>
      <c r="J34" s="195">
        <f t="shared" si="17"/>
        <v>81.300000000000011</v>
      </c>
      <c r="K34" s="75">
        <v>3</v>
      </c>
      <c r="L34" s="75">
        <v>5</v>
      </c>
      <c r="M34" s="16"/>
      <c r="N34" s="76">
        <v>0.7</v>
      </c>
      <c r="O34" s="77">
        <f t="shared" si="18"/>
        <v>94.85</v>
      </c>
      <c r="P34" s="75">
        <v>3</v>
      </c>
      <c r="Q34" s="75">
        <v>5</v>
      </c>
      <c r="R34" s="16"/>
      <c r="S34" s="78">
        <f t="shared" si="13"/>
        <v>135.5</v>
      </c>
      <c r="T34" s="78">
        <f t="shared" si="19"/>
        <v>2642.25</v>
      </c>
      <c r="U34" s="79">
        <f t="shared" si="16"/>
        <v>30</v>
      </c>
      <c r="V34" s="25"/>
      <c r="W34" s="26"/>
      <c r="X34" s="37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</row>
    <row r="35" spans="1:51" ht="13.5" customHeight="1" x14ac:dyDescent="0.25">
      <c r="A35" s="50"/>
      <c r="B35" s="50"/>
      <c r="C35" s="50"/>
      <c r="D35" s="50"/>
      <c r="E35" s="50"/>
      <c r="F35" s="50"/>
      <c r="G35" s="30"/>
      <c r="H35" s="13" t="s">
        <v>48</v>
      </c>
      <c r="I35" s="14">
        <v>0.5</v>
      </c>
      <c r="J35" s="190">
        <f t="shared" si="17"/>
        <v>60.25</v>
      </c>
      <c r="K35" s="15">
        <v>1</v>
      </c>
      <c r="L35" s="15">
        <v>10</v>
      </c>
      <c r="M35" s="16"/>
      <c r="N35" s="17">
        <v>0.7</v>
      </c>
      <c r="O35" s="24">
        <f t="shared" si="18"/>
        <v>84.35</v>
      </c>
      <c r="P35" s="15">
        <v>3</v>
      </c>
      <c r="Q35" s="15">
        <v>5</v>
      </c>
      <c r="R35" s="16"/>
      <c r="S35" s="19">
        <f t="shared" si="13"/>
        <v>120.5</v>
      </c>
      <c r="T35" s="19">
        <f t="shared" si="19"/>
        <v>1867.75</v>
      </c>
      <c r="U35" s="18">
        <f t="shared" si="16"/>
        <v>25</v>
      </c>
      <c r="V35" s="25"/>
      <c r="W35" s="26"/>
      <c r="X35" s="37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</row>
    <row r="36" spans="1:51" x14ac:dyDescent="0.25">
      <c r="A36" s="50"/>
      <c r="B36" s="50"/>
      <c r="C36" s="50"/>
      <c r="D36" s="50"/>
      <c r="E36" s="50"/>
      <c r="F36" s="50"/>
      <c r="G36" s="30"/>
      <c r="H36" s="73" t="s">
        <v>49</v>
      </c>
      <c r="I36" s="74">
        <v>0.60000000000000009</v>
      </c>
      <c r="J36" s="195">
        <f t="shared" si="17"/>
        <v>36.300000000000004</v>
      </c>
      <c r="K36" s="75">
        <v>5</v>
      </c>
      <c r="L36" s="75">
        <v>5</v>
      </c>
      <c r="M36" s="16"/>
      <c r="N36" s="76"/>
      <c r="O36" s="77">
        <f t="shared" si="18"/>
        <v>0</v>
      </c>
      <c r="P36" s="75"/>
      <c r="Q36" s="75"/>
      <c r="R36" s="16"/>
      <c r="S36" s="78">
        <f t="shared" si="13"/>
        <v>60.5</v>
      </c>
      <c r="T36" s="78">
        <f t="shared" si="19"/>
        <v>907.50000000000011</v>
      </c>
      <c r="U36" s="79">
        <f t="shared" si="16"/>
        <v>25</v>
      </c>
      <c r="V36" s="25"/>
      <c r="W36" s="26"/>
      <c r="X36" s="37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</row>
    <row r="37" spans="1:51" x14ac:dyDescent="0.25">
      <c r="A37" s="50"/>
      <c r="B37" s="50"/>
      <c r="C37" s="50"/>
      <c r="D37" s="50"/>
      <c r="E37" s="50"/>
      <c r="F37" s="50"/>
      <c r="G37" s="158"/>
      <c r="H37" s="13" t="s">
        <v>50</v>
      </c>
      <c r="I37" s="14">
        <v>0.60000000000000009</v>
      </c>
      <c r="J37" s="190">
        <f t="shared" si="17"/>
        <v>24.300000000000004</v>
      </c>
      <c r="K37" s="15">
        <v>5</v>
      </c>
      <c r="L37" s="15">
        <v>5</v>
      </c>
      <c r="M37" s="16"/>
      <c r="N37" s="17"/>
      <c r="O37" s="24">
        <f t="shared" si="18"/>
        <v>0</v>
      </c>
      <c r="P37" s="15"/>
      <c r="Q37" s="15"/>
      <c r="R37" s="16"/>
      <c r="S37" s="19">
        <f t="shared" si="13"/>
        <v>40.5</v>
      </c>
      <c r="T37" s="19">
        <f t="shared" si="19"/>
        <v>607.50000000000011</v>
      </c>
      <c r="U37" s="18">
        <f t="shared" si="16"/>
        <v>25</v>
      </c>
      <c r="V37" s="127"/>
      <c r="W37" s="146"/>
      <c r="X37" s="37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</row>
    <row r="38" spans="1:51" x14ac:dyDescent="0.25">
      <c r="A38" s="50"/>
      <c r="B38" s="50"/>
      <c r="C38" s="50"/>
      <c r="D38" s="50"/>
      <c r="E38" s="50"/>
      <c r="F38" s="50"/>
      <c r="G38" s="159"/>
      <c r="H38" s="130"/>
      <c r="I38" s="131">
        <v>0</v>
      </c>
      <c r="J38" s="191"/>
      <c r="K38" s="133"/>
      <c r="L38" s="133"/>
      <c r="M38" s="133"/>
      <c r="N38" s="134" t="s">
        <v>69</v>
      </c>
      <c r="O38" s="160"/>
      <c r="P38" s="161"/>
      <c r="Q38" s="154"/>
      <c r="R38" s="133"/>
      <c r="S38" s="155">
        <f t="shared" si="13"/>
        <v>0.5</v>
      </c>
      <c r="T38" s="139"/>
      <c r="U38" s="140"/>
      <c r="V38" s="162"/>
      <c r="W38" s="162"/>
      <c r="X38" s="37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</row>
    <row r="39" spans="1:51" x14ac:dyDescent="0.25">
      <c r="A39" s="50"/>
      <c r="B39" s="50"/>
      <c r="C39" s="50"/>
      <c r="D39" s="50"/>
      <c r="E39" s="50"/>
      <c r="F39" s="50"/>
      <c r="G39" s="121">
        <f>G32+2</f>
        <v>43483</v>
      </c>
      <c r="H39" s="73" t="s">
        <v>51</v>
      </c>
      <c r="I39" s="74">
        <v>0.69999999999999984</v>
      </c>
      <c r="J39" s="195">
        <f t="shared" ref="J39:J44" si="20">S39*I39</f>
        <v>70.34999999999998</v>
      </c>
      <c r="K39" s="75">
        <v>3</v>
      </c>
      <c r="L39" s="75">
        <v>5</v>
      </c>
      <c r="M39" s="16"/>
      <c r="N39" s="76"/>
      <c r="O39" s="77">
        <f>S39*N39</f>
        <v>0</v>
      </c>
      <c r="P39" s="75"/>
      <c r="Q39" s="75"/>
      <c r="R39" s="16"/>
      <c r="S39" s="78">
        <f t="shared" si="13"/>
        <v>100.5</v>
      </c>
      <c r="T39" s="78">
        <f>K39*L39*J39+O39*P39*Q39</f>
        <v>1055.2499999999998</v>
      </c>
      <c r="U39" s="79">
        <f t="shared" si="16"/>
        <v>15</v>
      </c>
      <c r="V39" s="123">
        <f>T39+T40+T41+T42+T43+T44</f>
        <v>6924.5</v>
      </c>
      <c r="W39" s="144">
        <f>U39+U40+U41+U42+U43+U44</f>
        <v>139</v>
      </c>
      <c r="X39" s="37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</row>
    <row r="40" spans="1:51" x14ac:dyDescent="0.25">
      <c r="A40" s="50"/>
      <c r="B40" s="50"/>
      <c r="C40" s="50" t="s">
        <v>69</v>
      </c>
      <c r="D40" s="50"/>
      <c r="E40" s="50"/>
      <c r="F40" s="50"/>
      <c r="G40" s="30"/>
      <c r="H40" s="13" t="s">
        <v>52</v>
      </c>
      <c r="I40" s="14">
        <v>0.60000000000000009</v>
      </c>
      <c r="J40" s="190">
        <f t="shared" si="20"/>
        <v>78.300000000000011</v>
      </c>
      <c r="K40" s="15">
        <v>2</v>
      </c>
      <c r="L40" s="15">
        <v>5</v>
      </c>
      <c r="M40" s="16"/>
      <c r="N40" s="17">
        <v>0.75</v>
      </c>
      <c r="O40" s="24">
        <f t="shared" ref="O40:O44" si="21">S40*N40</f>
        <v>97.875</v>
      </c>
      <c r="P40" s="15">
        <v>3</v>
      </c>
      <c r="Q40" s="15">
        <v>3</v>
      </c>
      <c r="R40" s="16"/>
      <c r="S40" s="19">
        <f t="shared" si="13"/>
        <v>130.5</v>
      </c>
      <c r="T40" s="19">
        <f t="shared" ref="T40:T44" si="22">K40*L40*J40+O40*P40*Q40</f>
        <v>1663.875</v>
      </c>
      <c r="U40" s="18">
        <f t="shared" si="16"/>
        <v>19</v>
      </c>
      <c r="V40" s="25"/>
      <c r="W40" s="26"/>
      <c r="X40" s="37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</row>
    <row r="41" spans="1:51" x14ac:dyDescent="0.25">
      <c r="A41" s="50"/>
      <c r="B41" s="50"/>
      <c r="C41" s="50"/>
      <c r="D41" s="50"/>
      <c r="E41" s="50"/>
      <c r="F41" s="50"/>
      <c r="G41" s="30"/>
      <c r="H41" s="73" t="s">
        <v>53</v>
      </c>
      <c r="I41" s="74">
        <v>0.60000000000000009</v>
      </c>
      <c r="J41" s="195">
        <f t="shared" si="20"/>
        <v>27.300000000000004</v>
      </c>
      <c r="K41" s="75">
        <v>5</v>
      </c>
      <c r="L41" s="75">
        <v>5</v>
      </c>
      <c r="M41" s="16"/>
      <c r="N41" s="76"/>
      <c r="O41" s="77">
        <f t="shared" si="21"/>
        <v>0</v>
      </c>
      <c r="P41" s="75"/>
      <c r="Q41" s="75"/>
      <c r="R41" s="16"/>
      <c r="S41" s="78">
        <f t="shared" si="13"/>
        <v>45.5</v>
      </c>
      <c r="T41" s="78">
        <f t="shared" si="22"/>
        <v>682.50000000000011</v>
      </c>
      <c r="U41" s="79">
        <f t="shared" si="16"/>
        <v>25</v>
      </c>
      <c r="V41" s="25"/>
      <c r="W41" s="26"/>
      <c r="X41" s="37"/>
      <c r="Y41" s="36"/>
      <c r="Z41" s="36"/>
      <c r="AA41" s="36" t="s">
        <v>69</v>
      </c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</row>
    <row r="42" spans="1:51" x14ac:dyDescent="0.25">
      <c r="A42" s="50"/>
      <c r="B42" s="50"/>
      <c r="C42" s="50"/>
      <c r="D42" s="50"/>
      <c r="E42" s="50"/>
      <c r="F42" s="50"/>
      <c r="G42" s="30"/>
      <c r="H42" s="13" t="s">
        <v>54</v>
      </c>
      <c r="I42" s="14">
        <v>0.60000000000000009</v>
      </c>
      <c r="J42" s="190">
        <f t="shared" si="20"/>
        <v>36.300000000000004</v>
      </c>
      <c r="K42" s="15">
        <v>3</v>
      </c>
      <c r="L42" s="15">
        <v>5</v>
      </c>
      <c r="M42" s="16"/>
      <c r="N42" s="17">
        <v>0.7</v>
      </c>
      <c r="O42" s="24">
        <f t="shared" si="21"/>
        <v>42.349999999999994</v>
      </c>
      <c r="P42" s="15">
        <v>3</v>
      </c>
      <c r="Q42" s="15">
        <v>5</v>
      </c>
      <c r="R42" s="16"/>
      <c r="S42" s="19">
        <f t="shared" si="13"/>
        <v>60.5</v>
      </c>
      <c r="T42" s="19">
        <f t="shared" si="22"/>
        <v>1179.75</v>
      </c>
      <c r="U42" s="18">
        <f t="shared" si="16"/>
        <v>30</v>
      </c>
      <c r="V42" s="25"/>
      <c r="W42" s="26"/>
      <c r="X42" s="37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</row>
    <row r="43" spans="1:51" x14ac:dyDescent="0.25">
      <c r="A43" s="50"/>
      <c r="B43" s="50"/>
      <c r="C43" s="50"/>
      <c r="D43" s="50"/>
      <c r="E43" s="50"/>
      <c r="F43" s="50"/>
      <c r="G43" s="30"/>
      <c r="H43" s="73" t="s">
        <v>55</v>
      </c>
      <c r="I43" s="74">
        <v>0.85</v>
      </c>
      <c r="J43" s="195">
        <f t="shared" si="20"/>
        <v>51.424999999999997</v>
      </c>
      <c r="K43" s="75">
        <v>5</v>
      </c>
      <c r="L43" s="75">
        <v>5</v>
      </c>
      <c r="M43" s="16"/>
      <c r="N43" s="76"/>
      <c r="O43" s="77">
        <f t="shared" si="21"/>
        <v>0</v>
      </c>
      <c r="P43" s="75"/>
      <c r="Q43" s="75"/>
      <c r="R43" s="16"/>
      <c r="S43" s="78">
        <f t="shared" si="13"/>
        <v>60.5</v>
      </c>
      <c r="T43" s="78">
        <f t="shared" si="22"/>
        <v>1285.625</v>
      </c>
      <c r="U43" s="79">
        <f t="shared" si="16"/>
        <v>25</v>
      </c>
      <c r="V43" s="25"/>
      <c r="W43" s="26"/>
      <c r="X43" s="37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</row>
    <row r="44" spans="1:51" ht="15" customHeight="1" x14ac:dyDescent="0.25">
      <c r="A44" s="50"/>
      <c r="B44" s="50"/>
      <c r="C44" s="50"/>
      <c r="D44" s="50"/>
      <c r="E44" s="50"/>
      <c r="F44" s="50"/>
      <c r="G44" s="158"/>
      <c r="H44" s="13" t="s">
        <v>56</v>
      </c>
      <c r="I44" s="14">
        <v>0.60000000000000009</v>
      </c>
      <c r="J44" s="190">
        <f t="shared" si="20"/>
        <v>42.300000000000004</v>
      </c>
      <c r="K44" s="15">
        <v>5</v>
      </c>
      <c r="L44" s="15">
        <v>5</v>
      </c>
      <c r="M44" s="16"/>
      <c r="N44" s="17"/>
      <c r="O44" s="24">
        <f t="shared" si="21"/>
        <v>0</v>
      </c>
      <c r="P44" s="15"/>
      <c r="Q44" s="15"/>
      <c r="R44" s="16"/>
      <c r="S44" s="19">
        <f t="shared" si="13"/>
        <v>70.5</v>
      </c>
      <c r="T44" s="19">
        <f t="shared" si="22"/>
        <v>1057.5</v>
      </c>
      <c r="U44" s="18">
        <f t="shared" si="16"/>
        <v>25</v>
      </c>
      <c r="V44" s="127"/>
      <c r="W44" s="146"/>
      <c r="X44" s="37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</row>
    <row r="45" spans="1:51" ht="15.75" customHeight="1" x14ac:dyDescent="0.25">
      <c r="A45" s="50"/>
      <c r="B45" s="50"/>
      <c r="C45" s="50"/>
      <c r="D45" s="50"/>
      <c r="E45" s="50"/>
      <c r="F45" s="50"/>
      <c r="G45" s="150" t="s">
        <v>9</v>
      </c>
      <c r="H45" s="150"/>
      <c r="I45" s="150"/>
      <c r="J45" s="194"/>
      <c r="K45" s="150"/>
      <c r="L45" s="150"/>
      <c r="M45" s="150"/>
      <c r="N45" s="150"/>
      <c r="O45" s="150"/>
      <c r="P45" s="150"/>
      <c r="Q45" s="150"/>
      <c r="R45" s="150"/>
      <c r="S45" s="163">
        <f t="shared" si="13"/>
        <v>0.5</v>
      </c>
      <c r="T45" s="150"/>
      <c r="U45" s="150"/>
      <c r="V45" s="114">
        <f>V46+V53+V60</f>
        <v>28190.399999999998</v>
      </c>
      <c r="W45" s="114">
        <f>W46+W53+W60</f>
        <v>432</v>
      </c>
      <c r="X45" s="115">
        <f>V45/W45</f>
        <v>65.255555555555546</v>
      </c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</row>
    <row r="46" spans="1:51" ht="15.75" customHeight="1" x14ac:dyDescent="0.25">
      <c r="A46" s="50"/>
      <c r="B46" s="50"/>
      <c r="C46" s="50"/>
      <c r="D46" s="50" t="s">
        <v>75</v>
      </c>
      <c r="E46" s="50"/>
      <c r="F46" s="50"/>
      <c r="G46" s="121">
        <f>G39+3</f>
        <v>43486</v>
      </c>
      <c r="H46" s="73" t="s">
        <v>40</v>
      </c>
      <c r="I46" s="74">
        <v>0.60000000000000009</v>
      </c>
      <c r="J46" s="195">
        <f t="shared" ref="J46:J51" si="23">S46*I46</f>
        <v>90.600000000000009</v>
      </c>
      <c r="K46" s="75">
        <v>3</v>
      </c>
      <c r="L46" s="75">
        <v>5</v>
      </c>
      <c r="M46" s="16"/>
      <c r="N46" s="76">
        <v>0.75</v>
      </c>
      <c r="O46" s="77">
        <f>S46*N46</f>
        <v>113.25</v>
      </c>
      <c r="P46" s="75">
        <v>3</v>
      </c>
      <c r="Q46" s="75">
        <v>3</v>
      </c>
      <c r="R46" s="16"/>
      <c r="S46" s="78">
        <f>S25+0.5</f>
        <v>151</v>
      </c>
      <c r="T46" s="78">
        <f>K46*L46*J46+O46*P46*Q46</f>
        <v>2378.25</v>
      </c>
      <c r="U46" s="79">
        <f>K46*L46+P46*Q46</f>
        <v>24</v>
      </c>
      <c r="V46" s="123">
        <f>T46+T47+T48+T49+T50+T51</f>
        <v>10752.849999999999</v>
      </c>
      <c r="W46" s="144">
        <f>U46+U47+U48+U49+U50+U51</f>
        <v>156</v>
      </c>
      <c r="X46" s="38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</row>
    <row r="47" spans="1:51" x14ac:dyDescent="0.25">
      <c r="A47" s="50"/>
      <c r="B47" s="50"/>
      <c r="C47" s="50"/>
      <c r="D47" s="50"/>
      <c r="E47" s="50"/>
      <c r="F47" s="50"/>
      <c r="G47" s="30"/>
      <c r="H47" s="13" t="s">
        <v>41</v>
      </c>
      <c r="I47" s="14">
        <v>0.65000000000000013</v>
      </c>
      <c r="J47" s="190">
        <f t="shared" si="23"/>
        <v>88.40000000000002</v>
      </c>
      <c r="K47" s="15">
        <v>2</v>
      </c>
      <c r="L47" s="15">
        <v>5</v>
      </c>
      <c r="M47" s="16"/>
      <c r="N47" s="17">
        <v>0.85</v>
      </c>
      <c r="O47" s="24">
        <f t="shared" ref="O47:O51" si="24">S47*N47</f>
        <v>115.6</v>
      </c>
      <c r="P47" s="15">
        <v>5</v>
      </c>
      <c r="Q47" s="15">
        <v>4</v>
      </c>
      <c r="R47" s="16"/>
      <c r="S47" s="19">
        <f>S26+0.5</f>
        <v>136</v>
      </c>
      <c r="T47" s="19">
        <f t="shared" ref="T47:T51" si="25">K47*L47*J47+O47*P47*Q47</f>
        <v>3196</v>
      </c>
      <c r="U47" s="18">
        <f t="shared" ref="U47:U65" si="26">K47*L47+P47*Q47</f>
        <v>30</v>
      </c>
      <c r="V47" s="25"/>
      <c r="W47" s="26"/>
      <c r="X47" s="38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</row>
    <row r="48" spans="1:51" x14ac:dyDescent="0.25">
      <c r="A48" s="50"/>
      <c r="B48" s="50"/>
      <c r="C48" s="50"/>
      <c r="D48" s="50"/>
      <c r="E48" s="50"/>
      <c r="F48" s="50"/>
      <c r="G48" s="30"/>
      <c r="H48" s="73" t="s">
        <v>42</v>
      </c>
      <c r="I48" s="74">
        <v>0.65000000000000013</v>
      </c>
      <c r="J48" s="195">
        <f t="shared" si="23"/>
        <v>72.15000000000002</v>
      </c>
      <c r="K48" s="75">
        <v>1</v>
      </c>
      <c r="L48" s="75">
        <v>8</v>
      </c>
      <c r="M48" s="16"/>
      <c r="N48" s="76">
        <v>0.7</v>
      </c>
      <c r="O48" s="77">
        <f t="shared" si="24"/>
        <v>77.699999999999989</v>
      </c>
      <c r="P48" s="75">
        <v>3</v>
      </c>
      <c r="Q48" s="75">
        <v>5</v>
      </c>
      <c r="R48" s="16"/>
      <c r="S48" s="78">
        <f t="shared" si="13"/>
        <v>111</v>
      </c>
      <c r="T48" s="78">
        <f t="shared" si="25"/>
        <v>1742.6999999999998</v>
      </c>
      <c r="U48" s="79">
        <f t="shared" si="26"/>
        <v>23</v>
      </c>
      <c r="V48" s="25"/>
      <c r="W48" s="26"/>
      <c r="X48" s="38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</row>
    <row r="49" spans="1:51" x14ac:dyDescent="0.25">
      <c r="A49" s="50"/>
      <c r="B49" s="50"/>
      <c r="C49" s="50"/>
      <c r="D49" s="50"/>
      <c r="E49" s="50"/>
      <c r="F49" s="50"/>
      <c r="G49" s="30"/>
      <c r="H49" s="13" t="s">
        <v>43</v>
      </c>
      <c r="I49" s="14">
        <v>0.60000000000000009</v>
      </c>
      <c r="J49" s="190">
        <f t="shared" si="23"/>
        <v>48.600000000000009</v>
      </c>
      <c r="K49" s="15">
        <v>1</v>
      </c>
      <c r="L49" s="15">
        <v>8</v>
      </c>
      <c r="M49" s="16"/>
      <c r="N49" s="17">
        <v>0.7</v>
      </c>
      <c r="O49" s="24">
        <f t="shared" si="24"/>
        <v>56.699999999999996</v>
      </c>
      <c r="P49" s="15">
        <v>3</v>
      </c>
      <c r="Q49" s="15">
        <v>5</v>
      </c>
      <c r="R49" s="16"/>
      <c r="S49" s="19">
        <f t="shared" si="13"/>
        <v>81</v>
      </c>
      <c r="T49" s="19">
        <f t="shared" si="25"/>
        <v>1239.3000000000002</v>
      </c>
      <c r="U49" s="18">
        <f t="shared" si="26"/>
        <v>23</v>
      </c>
      <c r="V49" s="25"/>
      <c r="W49" s="26"/>
      <c r="X49" s="38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</row>
    <row r="50" spans="1:51" x14ac:dyDescent="0.25">
      <c r="A50" s="50"/>
      <c r="B50" s="50"/>
      <c r="C50" s="50"/>
      <c r="D50" s="50"/>
      <c r="E50" s="50"/>
      <c r="F50" s="50"/>
      <c r="G50" s="30"/>
      <c r="H50" s="73" t="s">
        <v>44</v>
      </c>
      <c r="I50" s="74">
        <v>0.60000000000000009</v>
      </c>
      <c r="J50" s="195">
        <f t="shared" si="23"/>
        <v>30.600000000000005</v>
      </c>
      <c r="K50" s="75">
        <v>1</v>
      </c>
      <c r="L50" s="75">
        <v>8</v>
      </c>
      <c r="M50" s="16"/>
      <c r="N50" s="76">
        <v>0.7</v>
      </c>
      <c r="O50" s="77">
        <f t="shared" si="24"/>
        <v>35.699999999999996</v>
      </c>
      <c r="P50" s="75">
        <v>5</v>
      </c>
      <c r="Q50" s="75">
        <v>5</v>
      </c>
      <c r="R50" s="16"/>
      <c r="S50" s="78">
        <f t="shared" si="13"/>
        <v>51</v>
      </c>
      <c r="T50" s="78">
        <f t="shared" si="25"/>
        <v>1137.3</v>
      </c>
      <c r="U50" s="79">
        <f t="shared" si="26"/>
        <v>33</v>
      </c>
      <c r="V50" s="25"/>
      <c r="W50" s="26"/>
      <c r="X50" s="38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</row>
    <row r="51" spans="1:51" x14ac:dyDescent="0.25">
      <c r="A51" s="50"/>
      <c r="B51" s="50"/>
      <c r="C51" s="50"/>
      <c r="D51" s="50"/>
      <c r="E51" s="50"/>
      <c r="F51" s="50"/>
      <c r="G51" s="158"/>
      <c r="H51" s="13" t="s">
        <v>45</v>
      </c>
      <c r="I51" s="14">
        <v>0.60000000000000009</v>
      </c>
      <c r="J51" s="190">
        <f t="shared" si="23"/>
        <v>39.600000000000009</v>
      </c>
      <c r="K51" s="15">
        <v>1</v>
      </c>
      <c r="L51" s="15">
        <v>8</v>
      </c>
      <c r="M51" s="16"/>
      <c r="N51" s="17">
        <v>0.75</v>
      </c>
      <c r="O51" s="24">
        <f t="shared" si="24"/>
        <v>49.5</v>
      </c>
      <c r="P51" s="15">
        <v>3</v>
      </c>
      <c r="Q51" s="15">
        <v>5</v>
      </c>
      <c r="R51" s="16"/>
      <c r="S51" s="19">
        <f t="shared" si="13"/>
        <v>66</v>
      </c>
      <c r="T51" s="19">
        <f t="shared" si="25"/>
        <v>1059.3000000000002</v>
      </c>
      <c r="U51" s="18">
        <f t="shared" si="26"/>
        <v>23</v>
      </c>
      <c r="V51" s="127"/>
      <c r="W51" s="146"/>
      <c r="X51" s="38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</row>
    <row r="52" spans="1:51" x14ac:dyDescent="0.25">
      <c r="A52" s="50"/>
      <c r="B52" s="50"/>
      <c r="C52" s="50"/>
      <c r="D52" s="50"/>
      <c r="E52" s="50"/>
      <c r="F52" s="50"/>
      <c r="G52" s="159"/>
      <c r="H52" s="130"/>
      <c r="I52" s="131">
        <v>0</v>
      </c>
      <c r="J52" s="191"/>
      <c r="K52" s="133"/>
      <c r="L52" s="133"/>
      <c r="M52" s="133"/>
      <c r="N52" s="134"/>
      <c r="O52" s="135"/>
      <c r="P52" s="136"/>
      <c r="Q52" s="137"/>
      <c r="R52" s="133"/>
      <c r="S52" s="139">
        <f t="shared" si="13"/>
        <v>1</v>
      </c>
      <c r="T52" s="139"/>
      <c r="U52" s="140"/>
      <c r="V52" s="162"/>
      <c r="W52" s="162"/>
      <c r="X52" s="38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</row>
    <row r="53" spans="1:51" x14ac:dyDescent="0.25">
      <c r="A53" s="50"/>
      <c r="B53" s="50"/>
      <c r="C53" s="50"/>
      <c r="D53" s="50"/>
      <c r="E53" s="50"/>
      <c r="F53" s="50"/>
      <c r="G53" s="121">
        <f>G46+2</f>
        <v>43488</v>
      </c>
      <c r="H53" s="73" t="s">
        <v>46</v>
      </c>
      <c r="I53" s="74">
        <v>0.65000000000000013</v>
      </c>
      <c r="J53" s="195">
        <f t="shared" ref="J53:J58" si="27">S53*I53</f>
        <v>91.65000000000002</v>
      </c>
      <c r="K53" s="75">
        <v>2</v>
      </c>
      <c r="L53" s="75">
        <v>8</v>
      </c>
      <c r="M53" s="16"/>
      <c r="N53" s="76">
        <v>0.8</v>
      </c>
      <c r="O53" s="77">
        <f>S53*N53</f>
        <v>112.80000000000001</v>
      </c>
      <c r="P53" s="75">
        <v>5</v>
      </c>
      <c r="Q53" s="75">
        <v>5</v>
      </c>
      <c r="R53" s="16"/>
      <c r="S53" s="78">
        <f t="shared" si="13"/>
        <v>141</v>
      </c>
      <c r="T53" s="78">
        <f>K53*L53*J53+O53*P53*Q53</f>
        <v>4286.4000000000005</v>
      </c>
      <c r="U53" s="79">
        <f t="shared" si="26"/>
        <v>41</v>
      </c>
      <c r="V53" s="123">
        <f>T53+T54+T55+T56+T57+T58</f>
        <v>10230.6</v>
      </c>
      <c r="W53" s="144">
        <f>U53+U54+U55+U56+U57+U58</f>
        <v>143</v>
      </c>
      <c r="X53" s="38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</row>
    <row r="54" spans="1:51" x14ac:dyDescent="0.25">
      <c r="A54" s="50"/>
      <c r="B54" s="50"/>
      <c r="C54" s="50"/>
      <c r="D54" s="50"/>
      <c r="E54" s="50"/>
      <c r="F54" s="50"/>
      <c r="G54" s="30"/>
      <c r="H54" s="13" t="s">
        <v>47</v>
      </c>
      <c r="I54" s="14">
        <v>0.7</v>
      </c>
      <c r="J54" s="190">
        <f t="shared" si="27"/>
        <v>63.699999999999996</v>
      </c>
      <c r="K54" s="15">
        <v>3</v>
      </c>
      <c r="L54" s="15">
        <v>8</v>
      </c>
      <c r="M54" s="16"/>
      <c r="N54" s="17"/>
      <c r="O54" s="24">
        <f t="shared" ref="O54:O58" si="28">S54*N54</f>
        <v>0</v>
      </c>
      <c r="P54" s="15"/>
      <c r="Q54" s="15"/>
      <c r="R54" s="16"/>
      <c r="S54" s="19">
        <f t="shared" si="13"/>
        <v>91</v>
      </c>
      <c r="T54" s="19">
        <f t="shared" ref="T54:T58" si="29">K54*L54*J54+O54*P54*Q54</f>
        <v>1528.8</v>
      </c>
      <c r="U54" s="18">
        <f t="shared" si="26"/>
        <v>24</v>
      </c>
      <c r="V54" s="25"/>
      <c r="W54" s="26"/>
      <c r="X54" s="38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</row>
    <row r="55" spans="1:51" x14ac:dyDescent="0.25">
      <c r="A55" s="50"/>
      <c r="B55" s="50"/>
      <c r="C55" s="50"/>
      <c r="D55" s="50"/>
      <c r="E55" s="50"/>
      <c r="F55" s="50"/>
      <c r="G55" s="30"/>
      <c r="H55" s="73" t="s">
        <v>41</v>
      </c>
      <c r="I55" s="74">
        <v>0.5</v>
      </c>
      <c r="J55" s="195">
        <f t="shared" si="27"/>
        <v>68</v>
      </c>
      <c r="K55" s="75">
        <v>3</v>
      </c>
      <c r="L55" s="75">
        <v>5</v>
      </c>
      <c r="M55" s="16"/>
      <c r="N55" s="76">
        <v>0.65</v>
      </c>
      <c r="O55" s="77">
        <f t="shared" si="28"/>
        <v>88.4</v>
      </c>
      <c r="P55" s="75">
        <v>3</v>
      </c>
      <c r="Q55" s="75">
        <v>3</v>
      </c>
      <c r="R55" s="16"/>
      <c r="S55" s="78">
        <f t="shared" si="13"/>
        <v>136</v>
      </c>
      <c r="T55" s="78">
        <f t="shared" si="29"/>
        <v>1815.6000000000001</v>
      </c>
      <c r="U55" s="79">
        <f t="shared" si="26"/>
        <v>24</v>
      </c>
      <c r="V55" s="25"/>
      <c r="W55" s="26"/>
      <c r="X55" s="38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</row>
    <row r="56" spans="1:51" x14ac:dyDescent="0.25">
      <c r="A56" s="50"/>
      <c r="B56" s="50"/>
      <c r="C56" s="50"/>
      <c r="D56" s="50"/>
      <c r="E56" s="50"/>
      <c r="F56" s="50"/>
      <c r="G56" s="30"/>
      <c r="H56" s="13" t="s">
        <v>48</v>
      </c>
      <c r="I56" s="14">
        <v>0.7</v>
      </c>
      <c r="J56" s="190">
        <f t="shared" si="27"/>
        <v>84.699999999999989</v>
      </c>
      <c r="K56" s="15">
        <v>3</v>
      </c>
      <c r="L56" s="15">
        <v>5</v>
      </c>
      <c r="M56" s="16"/>
      <c r="N56" s="17"/>
      <c r="O56" s="24">
        <f t="shared" si="28"/>
        <v>0</v>
      </c>
      <c r="P56" s="15"/>
      <c r="Q56" s="15"/>
      <c r="R56" s="16"/>
      <c r="S56" s="19">
        <f t="shared" si="13"/>
        <v>121</v>
      </c>
      <c r="T56" s="19">
        <f t="shared" si="29"/>
        <v>1270.4999999999998</v>
      </c>
      <c r="U56" s="18">
        <f t="shared" si="26"/>
        <v>15</v>
      </c>
      <c r="V56" s="25"/>
      <c r="W56" s="26"/>
      <c r="X56" s="38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</row>
    <row r="57" spans="1:51" x14ac:dyDescent="0.25">
      <c r="A57" s="50"/>
      <c r="B57" s="50"/>
      <c r="C57" s="50"/>
      <c r="D57" s="50"/>
      <c r="E57" s="50"/>
      <c r="F57" s="50"/>
      <c r="G57" s="30"/>
      <c r="H57" s="73" t="s">
        <v>49</v>
      </c>
      <c r="I57" s="74">
        <v>0.7</v>
      </c>
      <c r="J57" s="195">
        <f t="shared" si="27"/>
        <v>42.699999999999996</v>
      </c>
      <c r="K57" s="75">
        <v>3</v>
      </c>
      <c r="L57" s="75">
        <v>5</v>
      </c>
      <c r="M57" s="16"/>
      <c r="N57" s="76"/>
      <c r="O57" s="77">
        <f t="shared" si="28"/>
        <v>0</v>
      </c>
      <c r="P57" s="75"/>
      <c r="Q57" s="75"/>
      <c r="R57" s="16"/>
      <c r="S57" s="78">
        <f t="shared" si="13"/>
        <v>61</v>
      </c>
      <c r="T57" s="78">
        <f t="shared" si="29"/>
        <v>640.49999999999989</v>
      </c>
      <c r="U57" s="79">
        <f t="shared" si="26"/>
        <v>15</v>
      </c>
      <c r="V57" s="25"/>
      <c r="W57" s="26"/>
      <c r="X57" s="38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</row>
    <row r="58" spans="1:51" x14ac:dyDescent="0.25">
      <c r="A58" s="50"/>
      <c r="B58" s="50"/>
      <c r="C58" s="50"/>
      <c r="D58" s="50"/>
      <c r="E58" s="50"/>
      <c r="F58" s="50"/>
      <c r="G58" s="158"/>
      <c r="H58" s="13" t="s">
        <v>50</v>
      </c>
      <c r="I58" s="14">
        <v>0.7</v>
      </c>
      <c r="J58" s="190">
        <f t="shared" si="27"/>
        <v>28.7</v>
      </c>
      <c r="K58" s="15">
        <v>3</v>
      </c>
      <c r="L58" s="15">
        <v>8</v>
      </c>
      <c r="M58" s="16"/>
      <c r="N58" s="17"/>
      <c r="O58" s="24">
        <f t="shared" si="28"/>
        <v>0</v>
      </c>
      <c r="P58" s="15"/>
      <c r="Q58" s="15"/>
      <c r="R58" s="16"/>
      <c r="S58" s="19">
        <f t="shared" si="13"/>
        <v>41</v>
      </c>
      <c r="T58" s="19">
        <f t="shared" si="29"/>
        <v>688.8</v>
      </c>
      <c r="U58" s="18">
        <f t="shared" si="26"/>
        <v>24</v>
      </c>
      <c r="V58" s="127"/>
      <c r="W58" s="146"/>
      <c r="X58" s="38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</row>
    <row r="59" spans="1:51" x14ac:dyDescent="0.25">
      <c r="A59" s="50"/>
      <c r="B59" s="50"/>
      <c r="C59" s="50"/>
      <c r="D59" s="50"/>
      <c r="E59" s="50"/>
      <c r="F59" s="50"/>
      <c r="G59" s="159"/>
      <c r="H59" s="130"/>
      <c r="I59" s="131">
        <v>0</v>
      </c>
      <c r="J59" s="191"/>
      <c r="K59" s="133"/>
      <c r="L59" s="133"/>
      <c r="M59" s="133"/>
      <c r="N59" s="134"/>
      <c r="O59" s="135"/>
      <c r="P59" s="136"/>
      <c r="Q59" s="137"/>
      <c r="R59" s="133"/>
      <c r="S59" s="139">
        <f t="shared" si="13"/>
        <v>1</v>
      </c>
      <c r="T59" s="139"/>
      <c r="U59" s="140"/>
      <c r="V59" s="157"/>
      <c r="W59" s="157"/>
      <c r="X59" s="38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</row>
    <row r="60" spans="1:51" x14ac:dyDescent="0.25">
      <c r="A60" s="50"/>
      <c r="B60" s="50"/>
      <c r="C60" s="50"/>
      <c r="D60" s="50"/>
      <c r="E60" s="50"/>
      <c r="F60" s="50"/>
      <c r="G60" s="121">
        <f>G53+2</f>
        <v>43490</v>
      </c>
      <c r="H60" s="73" t="s">
        <v>51</v>
      </c>
      <c r="I60" s="74">
        <v>0.7</v>
      </c>
      <c r="J60" s="195">
        <f t="shared" ref="J60:J65" si="30">S60*I60</f>
        <v>70.699999999999989</v>
      </c>
      <c r="K60" s="75">
        <v>3</v>
      </c>
      <c r="L60" s="75">
        <v>6</v>
      </c>
      <c r="M60" s="16"/>
      <c r="N60" s="76"/>
      <c r="O60" s="77">
        <f>S60*N60</f>
        <v>0</v>
      </c>
      <c r="P60" s="75"/>
      <c r="Q60" s="75"/>
      <c r="R60" s="16"/>
      <c r="S60" s="78">
        <f t="shared" si="13"/>
        <v>101</v>
      </c>
      <c r="T60" s="78">
        <f>K60*L60*J60+O60*P60*Q60</f>
        <v>1272.5999999999999</v>
      </c>
      <c r="U60" s="79">
        <f t="shared" si="26"/>
        <v>18</v>
      </c>
      <c r="V60" s="123">
        <f>T60+T61+T62+T63+T64+T65</f>
        <v>7206.95</v>
      </c>
      <c r="W60" s="144">
        <f>U60+U61+U62+U63+U64+U65</f>
        <v>133</v>
      </c>
      <c r="X60" s="38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</row>
    <row r="61" spans="1:51" x14ac:dyDescent="0.25">
      <c r="A61" s="50"/>
      <c r="B61" s="50"/>
      <c r="C61" s="50"/>
      <c r="D61" s="50"/>
      <c r="E61" s="50"/>
      <c r="F61" s="50"/>
      <c r="G61" s="30"/>
      <c r="H61" s="13" t="s">
        <v>52</v>
      </c>
      <c r="I61" s="14">
        <v>0.7</v>
      </c>
      <c r="J61" s="190">
        <f t="shared" si="30"/>
        <v>91.699999999999989</v>
      </c>
      <c r="K61" s="15">
        <v>2</v>
      </c>
      <c r="L61" s="15">
        <v>5</v>
      </c>
      <c r="M61" s="16"/>
      <c r="N61" s="17">
        <v>0.85</v>
      </c>
      <c r="O61" s="24">
        <f t="shared" ref="O61:O65" si="31">S61*N61</f>
        <v>111.35</v>
      </c>
      <c r="P61" s="15">
        <v>3</v>
      </c>
      <c r="Q61" s="15">
        <v>3</v>
      </c>
      <c r="R61" s="16"/>
      <c r="S61" s="19">
        <f t="shared" si="13"/>
        <v>131</v>
      </c>
      <c r="T61" s="19">
        <f t="shared" ref="T61:T65" si="32">K61*L61*J61+O61*P61*Q61</f>
        <v>1919.1499999999996</v>
      </c>
      <c r="U61" s="18">
        <f t="shared" si="26"/>
        <v>19</v>
      </c>
      <c r="V61" s="25"/>
      <c r="W61" s="26"/>
      <c r="X61" s="38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</row>
    <row r="62" spans="1:51" x14ac:dyDescent="0.25">
      <c r="A62" s="50"/>
      <c r="B62" s="50"/>
      <c r="C62" s="50"/>
      <c r="D62" s="50"/>
      <c r="E62" s="50"/>
      <c r="F62" s="50"/>
      <c r="G62" s="30"/>
      <c r="H62" s="73" t="s">
        <v>53</v>
      </c>
      <c r="I62" s="74">
        <v>0.7</v>
      </c>
      <c r="J62" s="195">
        <f t="shared" si="30"/>
        <v>32.199999999999996</v>
      </c>
      <c r="K62" s="75">
        <v>3</v>
      </c>
      <c r="L62" s="75">
        <v>8</v>
      </c>
      <c r="M62" s="16"/>
      <c r="N62" s="76"/>
      <c r="O62" s="77">
        <f t="shared" si="31"/>
        <v>0</v>
      </c>
      <c r="P62" s="75"/>
      <c r="Q62" s="75"/>
      <c r="R62" s="16"/>
      <c r="S62" s="78">
        <f t="shared" si="13"/>
        <v>46</v>
      </c>
      <c r="T62" s="78">
        <f t="shared" si="32"/>
        <v>772.8</v>
      </c>
      <c r="U62" s="79">
        <f t="shared" si="26"/>
        <v>24</v>
      </c>
      <c r="V62" s="25"/>
      <c r="W62" s="26"/>
      <c r="X62" s="38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</row>
    <row r="63" spans="1:51" ht="15" customHeight="1" x14ac:dyDescent="0.25">
      <c r="A63" s="50"/>
      <c r="B63" s="50"/>
      <c r="C63" s="50"/>
      <c r="D63" s="50"/>
      <c r="E63" s="50"/>
      <c r="F63" s="50"/>
      <c r="G63" s="30"/>
      <c r="H63" s="13" t="s">
        <v>54</v>
      </c>
      <c r="I63" s="14">
        <v>0.7</v>
      </c>
      <c r="J63" s="190">
        <f t="shared" si="30"/>
        <v>42.699999999999996</v>
      </c>
      <c r="K63" s="15">
        <v>3</v>
      </c>
      <c r="L63" s="15">
        <v>8</v>
      </c>
      <c r="M63" s="16"/>
      <c r="N63" s="17"/>
      <c r="O63" s="24">
        <f t="shared" si="31"/>
        <v>0</v>
      </c>
      <c r="P63" s="15"/>
      <c r="Q63" s="15"/>
      <c r="R63" s="16"/>
      <c r="S63" s="19">
        <f t="shared" si="13"/>
        <v>61</v>
      </c>
      <c r="T63" s="19">
        <f t="shared" si="32"/>
        <v>1024.8</v>
      </c>
      <c r="U63" s="18">
        <f t="shared" si="26"/>
        <v>24</v>
      </c>
      <c r="V63" s="25"/>
      <c r="W63" s="26"/>
      <c r="X63" s="38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</row>
    <row r="64" spans="1:51" x14ac:dyDescent="0.25">
      <c r="A64" s="50"/>
      <c r="B64" s="50"/>
      <c r="C64" s="50"/>
      <c r="D64" s="50"/>
      <c r="E64" s="50"/>
      <c r="F64" s="50"/>
      <c r="G64" s="30"/>
      <c r="H64" s="73" t="s">
        <v>55</v>
      </c>
      <c r="I64" s="74">
        <v>0.7</v>
      </c>
      <c r="J64" s="195">
        <f t="shared" si="30"/>
        <v>42.699999999999996</v>
      </c>
      <c r="K64" s="75">
        <v>3</v>
      </c>
      <c r="L64" s="75">
        <v>8</v>
      </c>
      <c r="M64" s="16"/>
      <c r="N64" s="76"/>
      <c r="O64" s="77">
        <f t="shared" si="31"/>
        <v>0</v>
      </c>
      <c r="P64" s="75"/>
      <c r="Q64" s="75"/>
      <c r="R64" s="16"/>
      <c r="S64" s="78">
        <f t="shared" si="13"/>
        <v>61</v>
      </c>
      <c r="T64" s="78">
        <f t="shared" si="32"/>
        <v>1024.8</v>
      </c>
      <c r="U64" s="79">
        <f t="shared" si="26"/>
        <v>24</v>
      </c>
      <c r="V64" s="25"/>
      <c r="W64" s="26"/>
      <c r="X64" s="38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</row>
    <row r="65" spans="1:51" x14ac:dyDescent="0.25">
      <c r="A65" s="50"/>
      <c r="B65" s="50"/>
      <c r="C65" s="50"/>
      <c r="D65" s="50"/>
      <c r="E65" s="50"/>
      <c r="F65" s="50"/>
      <c r="G65" s="158"/>
      <c r="H65" s="13" t="s">
        <v>56</v>
      </c>
      <c r="I65" s="14">
        <v>0.7</v>
      </c>
      <c r="J65" s="190">
        <f t="shared" si="30"/>
        <v>49.699999999999996</v>
      </c>
      <c r="K65" s="15">
        <v>3</v>
      </c>
      <c r="L65" s="15">
        <v>8</v>
      </c>
      <c r="M65" s="16"/>
      <c r="N65" s="17"/>
      <c r="O65" s="24">
        <f t="shared" si="31"/>
        <v>0</v>
      </c>
      <c r="P65" s="15"/>
      <c r="Q65" s="15"/>
      <c r="R65" s="16"/>
      <c r="S65" s="19">
        <f t="shared" si="13"/>
        <v>71</v>
      </c>
      <c r="T65" s="19">
        <f t="shared" si="32"/>
        <v>1192.8</v>
      </c>
      <c r="U65" s="18">
        <f t="shared" si="26"/>
        <v>24</v>
      </c>
      <c r="V65" s="127"/>
      <c r="W65" s="146"/>
      <c r="X65" s="38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</row>
    <row r="66" spans="1:51" x14ac:dyDescent="0.25">
      <c r="A66" s="50"/>
      <c r="B66" s="50"/>
      <c r="C66" s="50"/>
      <c r="D66" s="50"/>
      <c r="E66" s="50"/>
      <c r="F66" s="50"/>
      <c r="G66" s="112" t="s">
        <v>57</v>
      </c>
      <c r="H66" s="113"/>
      <c r="I66" s="113"/>
      <c r="J66" s="186"/>
      <c r="K66" s="113"/>
      <c r="L66" s="113"/>
      <c r="M66" s="113"/>
      <c r="N66" s="113"/>
      <c r="O66" s="113"/>
      <c r="P66" s="113"/>
      <c r="Q66" s="113"/>
      <c r="R66" s="113"/>
      <c r="S66" s="113">
        <f t="shared" si="13"/>
        <v>1</v>
      </c>
      <c r="T66" s="113"/>
      <c r="U66" s="113"/>
      <c r="V66" s="114">
        <f>V67+V74+V81</f>
        <v>24318</v>
      </c>
      <c r="W66" s="114">
        <f>W67+W74+W81</f>
        <v>535</v>
      </c>
      <c r="X66" s="115">
        <f>Таблица1[[#This Row],[.11]]/Таблица1[[#This Row],[Column1]]</f>
        <v>45.454205607476638</v>
      </c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</row>
    <row r="67" spans="1:51" x14ac:dyDescent="0.25">
      <c r="A67" s="50"/>
      <c r="B67" s="50"/>
      <c r="C67" s="50"/>
      <c r="D67" s="50"/>
      <c r="E67" s="50"/>
      <c r="F67" s="50"/>
      <c r="G67" s="121">
        <f>G60+3</f>
        <v>43493</v>
      </c>
      <c r="H67" s="13" t="s">
        <v>40</v>
      </c>
      <c r="I67" s="14">
        <v>0.45</v>
      </c>
      <c r="J67" s="192">
        <f t="shared" ref="J67:J72" si="33">S67*I67</f>
        <v>68.174999999999997</v>
      </c>
      <c r="K67" s="15">
        <v>3</v>
      </c>
      <c r="L67" s="15">
        <v>8</v>
      </c>
      <c r="M67" s="16"/>
      <c r="N67" s="17">
        <v>0.6</v>
      </c>
      <c r="O67" s="164">
        <f>S67*N67</f>
        <v>90.899999999999991</v>
      </c>
      <c r="P67" s="15">
        <v>2</v>
      </c>
      <c r="Q67" s="15">
        <v>3</v>
      </c>
      <c r="R67" s="16"/>
      <c r="S67" s="19">
        <f t="shared" si="13"/>
        <v>151.5</v>
      </c>
      <c r="T67" s="19">
        <f>K67*L67*J67+O67*P67*Q67</f>
        <v>2181.6</v>
      </c>
      <c r="U67" s="18">
        <f>K67*L67+P67*Q67</f>
        <v>30</v>
      </c>
      <c r="V67" s="123">
        <f>T67+T68+T69+T70+T71+T72</f>
        <v>9139.7999999999993</v>
      </c>
      <c r="W67" s="124">
        <f>U67+U68+U69+U70+U71+U72</f>
        <v>184</v>
      </c>
      <c r="X67" s="80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</row>
    <row r="68" spans="1:51" x14ac:dyDescent="0.25">
      <c r="A68" s="50"/>
      <c r="B68" s="50"/>
      <c r="C68" s="50"/>
      <c r="D68" s="50"/>
      <c r="E68" s="50"/>
      <c r="F68" s="50"/>
      <c r="G68" s="30"/>
      <c r="H68" s="13" t="s">
        <v>41</v>
      </c>
      <c r="I68" s="14">
        <v>0.45</v>
      </c>
      <c r="J68" s="196">
        <f t="shared" si="33"/>
        <v>61.425000000000004</v>
      </c>
      <c r="K68" s="15">
        <v>3</v>
      </c>
      <c r="L68" s="15">
        <v>8</v>
      </c>
      <c r="M68" s="16"/>
      <c r="N68" s="17">
        <v>0.6</v>
      </c>
      <c r="O68" s="24">
        <f t="shared" ref="O68:O72" si="34">S68*N68</f>
        <v>81.899999999999991</v>
      </c>
      <c r="P68" s="15">
        <v>2</v>
      </c>
      <c r="Q68" s="15">
        <v>5</v>
      </c>
      <c r="R68" s="16"/>
      <c r="S68" s="19">
        <f t="shared" si="13"/>
        <v>136.5</v>
      </c>
      <c r="T68" s="19">
        <f t="shared" ref="T68:T72" si="35">K68*L68*J68+O68*P68*Q68</f>
        <v>2293.1999999999998</v>
      </c>
      <c r="U68" s="18">
        <f t="shared" ref="U68:U72" si="36">K68*L68+P68*Q68</f>
        <v>34</v>
      </c>
      <c r="V68" s="25"/>
      <c r="W68" s="49"/>
      <c r="X68" s="80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</row>
    <row r="69" spans="1:51" x14ac:dyDescent="0.25">
      <c r="A69" s="50"/>
      <c r="B69" s="50"/>
      <c r="C69" s="50"/>
      <c r="D69" s="50"/>
      <c r="E69" s="50"/>
      <c r="F69" s="50"/>
      <c r="G69" s="125"/>
      <c r="H69" s="13" t="s">
        <v>42</v>
      </c>
      <c r="I69" s="14">
        <v>0.5</v>
      </c>
      <c r="J69" s="197">
        <f t="shared" si="33"/>
        <v>55.75</v>
      </c>
      <c r="K69" s="15">
        <v>3</v>
      </c>
      <c r="L69" s="15">
        <v>10</v>
      </c>
      <c r="M69" s="16"/>
      <c r="N69" s="17"/>
      <c r="O69" s="106">
        <f t="shared" si="34"/>
        <v>0</v>
      </c>
      <c r="P69" s="15"/>
      <c r="Q69" s="15"/>
      <c r="R69" s="16"/>
      <c r="S69" s="19">
        <f t="shared" si="13"/>
        <v>111.5</v>
      </c>
      <c r="T69" s="19">
        <f t="shared" si="35"/>
        <v>1672.5</v>
      </c>
      <c r="U69" s="18">
        <f t="shared" si="36"/>
        <v>30</v>
      </c>
      <c r="V69" s="25"/>
      <c r="W69" s="49"/>
      <c r="X69" s="80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</row>
    <row r="70" spans="1:51" ht="15" customHeight="1" x14ac:dyDescent="0.25">
      <c r="A70" s="50"/>
      <c r="B70" s="50"/>
      <c r="C70" s="50"/>
      <c r="D70" s="50"/>
      <c r="E70" s="50"/>
      <c r="F70" s="50"/>
      <c r="G70" s="22"/>
      <c r="H70" s="13" t="s">
        <v>43</v>
      </c>
      <c r="I70" s="14">
        <v>0.5</v>
      </c>
      <c r="J70" s="196">
        <f t="shared" si="33"/>
        <v>40.75</v>
      </c>
      <c r="K70" s="15">
        <v>3</v>
      </c>
      <c r="L70" s="15">
        <v>10</v>
      </c>
      <c r="M70" s="16"/>
      <c r="N70" s="17"/>
      <c r="O70" s="165">
        <f t="shared" si="34"/>
        <v>0</v>
      </c>
      <c r="P70" s="15"/>
      <c r="Q70" s="15"/>
      <c r="R70" s="16"/>
      <c r="S70" s="19">
        <f t="shared" si="13"/>
        <v>81.5</v>
      </c>
      <c r="T70" s="19">
        <f t="shared" si="35"/>
        <v>1222.5</v>
      </c>
      <c r="U70" s="18">
        <f t="shared" si="36"/>
        <v>30</v>
      </c>
      <c r="V70" s="25"/>
      <c r="W70" s="49"/>
      <c r="X70" s="80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</row>
    <row r="71" spans="1:51" x14ac:dyDescent="0.25">
      <c r="A71" s="50"/>
      <c r="B71" s="50"/>
      <c r="C71" s="50"/>
      <c r="D71" s="50"/>
      <c r="E71" s="50"/>
      <c r="F71" s="50"/>
      <c r="G71" s="22"/>
      <c r="H71" s="13" t="s">
        <v>44</v>
      </c>
      <c r="I71" s="14">
        <v>0.5</v>
      </c>
      <c r="J71" s="197">
        <f t="shared" si="33"/>
        <v>25.75</v>
      </c>
      <c r="K71" s="15">
        <v>3</v>
      </c>
      <c r="L71" s="15">
        <v>10</v>
      </c>
      <c r="M71" s="16"/>
      <c r="N71" s="17"/>
      <c r="O71" s="166">
        <f t="shared" si="34"/>
        <v>0</v>
      </c>
      <c r="P71" s="15"/>
      <c r="Q71" s="15"/>
      <c r="R71" s="16"/>
      <c r="S71" s="19">
        <f t="shared" si="13"/>
        <v>51.5</v>
      </c>
      <c r="T71" s="19">
        <f t="shared" si="35"/>
        <v>772.5</v>
      </c>
      <c r="U71" s="18">
        <f t="shared" si="36"/>
        <v>30</v>
      </c>
      <c r="V71" s="25"/>
      <c r="W71" s="49"/>
      <c r="X71" s="80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</row>
    <row r="72" spans="1:51" x14ac:dyDescent="0.25">
      <c r="A72" s="50"/>
      <c r="B72" s="50"/>
      <c r="C72" s="50"/>
      <c r="D72" s="50"/>
      <c r="E72" s="50"/>
      <c r="F72" s="50"/>
      <c r="G72" s="126"/>
      <c r="H72" s="13" t="s">
        <v>45</v>
      </c>
      <c r="I72" s="14">
        <v>0.5</v>
      </c>
      <c r="J72" s="190">
        <f t="shared" si="33"/>
        <v>33.25</v>
      </c>
      <c r="K72" s="15">
        <v>3</v>
      </c>
      <c r="L72" s="15">
        <v>10</v>
      </c>
      <c r="M72" s="16"/>
      <c r="N72" s="17"/>
      <c r="O72" s="24">
        <f t="shared" si="34"/>
        <v>0</v>
      </c>
      <c r="P72" s="15"/>
      <c r="Q72" s="15"/>
      <c r="R72" s="16"/>
      <c r="S72" s="19">
        <f t="shared" si="13"/>
        <v>66.5</v>
      </c>
      <c r="T72" s="19">
        <f t="shared" si="35"/>
        <v>997.5</v>
      </c>
      <c r="U72" s="18">
        <f t="shared" si="36"/>
        <v>30</v>
      </c>
      <c r="V72" s="127"/>
      <c r="W72" s="128"/>
      <c r="X72" s="80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</row>
    <row r="73" spans="1:51" x14ac:dyDescent="0.25">
      <c r="A73" s="50"/>
      <c r="B73" s="50"/>
      <c r="C73" s="50"/>
      <c r="D73" s="50"/>
      <c r="E73" s="50"/>
      <c r="F73" s="50"/>
      <c r="G73" s="153"/>
      <c r="H73" s="167"/>
      <c r="I73" s="168"/>
      <c r="J73" s="191"/>
      <c r="K73" s="137"/>
      <c r="L73" s="136"/>
      <c r="M73" s="136"/>
      <c r="N73" s="134"/>
      <c r="O73" s="135"/>
      <c r="P73" s="136"/>
      <c r="Q73" s="136"/>
      <c r="R73" s="136"/>
      <c r="S73" s="169">
        <f t="shared" si="13"/>
        <v>1.5</v>
      </c>
      <c r="T73" s="170"/>
      <c r="U73" s="171"/>
      <c r="V73" s="172"/>
      <c r="W73" s="173"/>
      <c r="X73" s="80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</row>
    <row r="74" spans="1:51" x14ac:dyDescent="0.25">
      <c r="A74" s="50"/>
      <c r="B74" s="50"/>
      <c r="C74" s="50"/>
      <c r="D74" s="50"/>
      <c r="E74" s="50"/>
      <c r="F74" s="50"/>
      <c r="G74" s="143">
        <f>G67+2</f>
        <v>43495</v>
      </c>
      <c r="H74" s="13" t="s">
        <v>46</v>
      </c>
      <c r="I74" s="14">
        <v>0.45</v>
      </c>
      <c r="J74" s="192">
        <f t="shared" ref="J74" si="37">S74*I74</f>
        <v>63.675000000000004</v>
      </c>
      <c r="K74" s="15">
        <v>3</v>
      </c>
      <c r="L74" s="15">
        <v>8</v>
      </c>
      <c r="M74" s="16"/>
      <c r="N74" s="17"/>
      <c r="O74" s="24"/>
      <c r="P74" s="15"/>
      <c r="Q74" s="15"/>
      <c r="R74" s="16"/>
      <c r="S74" s="19">
        <f t="shared" si="13"/>
        <v>141.5</v>
      </c>
      <c r="T74" s="19">
        <f>K74*L74*J74+O74*P74*Q74</f>
        <v>1528.2</v>
      </c>
      <c r="U74" s="18">
        <f>K74*L74+P74*Q74</f>
        <v>24</v>
      </c>
      <c r="V74" s="123">
        <f>T74+T75+T76+T77+T78+T79</f>
        <v>8792.7000000000007</v>
      </c>
      <c r="W74" s="144">
        <f>U74+U75+U76+U77+U78+U79</f>
        <v>179</v>
      </c>
      <c r="X74" s="80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</row>
    <row r="75" spans="1:51" x14ac:dyDescent="0.25">
      <c r="A75" s="50"/>
      <c r="B75" s="50"/>
      <c r="C75" s="50"/>
      <c r="D75" s="50"/>
      <c r="E75" s="50"/>
      <c r="F75" s="50"/>
      <c r="G75" s="22"/>
      <c r="H75" s="13" t="s">
        <v>47</v>
      </c>
      <c r="I75" s="174">
        <v>0.5</v>
      </c>
      <c r="J75" s="192">
        <f>S75*I75</f>
        <v>45.75</v>
      </c>
      <c r="K75" s="15">
        <v>3</v>
      </c>
      <c r="L75" s="15">
        <v>5</v>
      </c>
      <c r="M75" s="16"/>
      <c r="N75" s="17">
        <v>0.6</v>
      </c>
      <c r="O75" s="24">
        <f t="shared" ref="O75:O79" si="38">S75*N75</f>
        <v>54.9</v>
      </c>
      <c r="P75" s="15">
        <v>2</v>
      </c>
      <c r="Q75" s="15">
        <v>5</v>
      </c>
      <c r="R75" s="16"/>
      <c r="S75" s="19">
        <f t="shared" si="13"/>
        <v>91.5</v>
      </c>
      <c r="T75" s="19">
        <f>K75*L75*J75+O75*P75*Q75</f>
        <v>1235.25</v>
      </c>
      <c r="U75" s="18">
        <f t="shared" ref="U75:U79" si="39">K75*L75+P75*Q75</f>
        <v>25</v>
      </c>
      <c r="V75" s="25"/>
      <c r="W75" s="26"/>
      <c r="X75" s="80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</row>
    <row r="76" spans="1:51" x14ac:dyDescent="0.25">
      <c r="A76" s="50"/>
      <c r="B76" s="50"/>
      <c r="C76" s="50"/>
      <c r="D76" s="50"/>
      <c r="E76" s="50"/>
      <c r="F76" s="50"/>
      <c r="G76" s="22"/>
      <c r="H76" s="13" t="s">
        <v>41</v>
      </c>
      <c r="I76" s="14">
        <v>0.45</v>
      </c>
      <c r="J76" s="190">
        <f t="shared" ref="J76:J79" si="40">S76*I76</f>
        <v>61.425000000000004</v>
      </c>
      <c r="K76" s="15">
        <v>3</v>
      </c>
      <c r="L76" s="15">
        <v>10</v>
      </c>
      <c r="M76" s="16"/>
      <c r="N76" s="17">
        <v>0.6</v>
      </c>
      <c r="O76" s="24">
        <f t="shared" si="38"/>
        <v>81.899999999999991</v>
      </c>
      <c r="P76" s="15">
        <v>2</v>
      </c>
      <c r="Q76" s="15">
        <v>5</v>
      </c>
      <c r="R76" s="16"/>
      <c r="S76" s="19">
        <f t="shared" si="13"/>
        <v>136.5</v>
      </c>
      <c r="T76" s="19">
        <f t="shared" ref="T76:T79" si="41">K76*L76*J76+O76*P76*Q76</f>
        <v>2661.75</v>
      </c>
      <c r="U76" s="18">
        <f t="shared" si="39"/>
        <v>40</v>
      </c>
      <c r="V76" s="25"/>
      <c r="W76" s="26"/>
      <c r="X76" s="80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</row>
    <row r="77" spans="1:51" ht="15" customHeight="1" x14ac:dyDescent="0.25">
      <c r="A77" s="50"/>
      <c r="B77" s="50"/>
      <c r="C77" s="50"/>
      <c r="D77" s="50"/>
      <c r="E77" s="50"/>
      <c r="F77" s="50"/>
      <c r="G77" s="22"/>
      <c r="H77" s="13" t="s">
        <v>48</v>
      </c>
      <c r="I77" s="14">
        <v>0.5</v>
      </c>
      <c r="J77" s="190">
        <f t="shared" si="40"/>
        <v>60.75</v>
      </c>
      <c r="K77" s="15">
        <v>3</v>
      </c>
      <c r="L77" s="15">
        <v>10</v>
      </c>
      <c r="M77" s="16"/>
      <c r="N77" s="17"/>
      <c r="O77" s="24">
        <f t="shared" si="38"/>
        <v>0</v>
      </c>
      <c r="P77" s="15"/>
      <c r="Q77" s="15"/>
      <c r="R77" s="16"/>
      <c r="S77" s="19">
        <f t="shared" si="13"/>
        <v>121.5</v>
      </c>
      <c r="T77" s="19">
        <f t="shared" si="41"/>
        <v>1822.5</v>
      </c>
      <c r="U77" s="18">
        <f t="shared" si="39"/>
        <v>30</v>
      </c>
      <c r="V77" s="25"/>
      <c r="W77" s="26"/>
      <c r="X77" s="80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</row>
    <row r="78" spans="1:51" x14ac:dyDescent="0.25">
      <c r="A78" s="50"/>
      <c r="B78" s="50"/>
      <c r="C78" s="50"/>
      <c r="D78" s="50"/>
      <c r="E78" s="50"/>
      <c r="F78" s="50"/>
      <c r="G78" s="22"/>
      <c r="H78" s="13" t="s">
        <v>49</v>
      </c>
      <c r="I78" s="17">
        <v>0.5</v>
      </c>
      <c r="J78" s="190">
        <f t="shared" si="40"/>
        <v>30.75</v>
      </c>
      <c r="K78" s="15">
        <v>3</v>
      </c>
      <c r="L78" s="15">
        <v>10</v>
      </c>
      <c r="M78" s="16"/>
      <c r="N78" s="17"/>
      <c r="O78" s="24">
        <f t="shared" si="38"/>
        <v>0</v>
      </c>
      <c r="P78" s="15"/>
      <c r="Q78" s="15"/>
      <c r="R78" s="16"/>
      <c r="S78" s="19">
        <f t="shared" si="13"/>
        <v>61.5</v>
      </c>
      <c r="T78" s="19">
        <f t="shared" si="41"/>
        <v>922.5</v>
      </c>
      <c r="U78" s="18">
        <f t="shared" si="39"/>
        <v>30</v>
      </c>
      <c r="V78" s="25"/>
      <c r="W78" s="26"/>
      <c r="X78" s="80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</row>
    <row r="79" spans="1:51" x14ac:dyDescent="0.25">
      <c r="A79" s="50"/>
      <c r="B79" s="50"/>
      <c r="C79" s="50"/>
      <c r="D79" s="50"/>
      <c r="E79" s="50"/>
      <c r="F79" s="50"/>
      <c r="G79" s="126"/>
      <c r="H79" s="13" t="s">
        <v>50</v>
      </c>
      <c r="I79" s="17">
        <v>0.5</v>
      </c>
      <c r="J79" s="190">
        <f t="shared" si="40"/>
        <v>20.75</v>
      </c>
      <c r="K79" s="15">
        <v>3</v>
      </c>
      <c r="L79" s="15">
        <v>10</v>
      </c>
      <c r="M79" s="16"/>
      <c r="N79" s="17"/>
      <c r="O79" s="24">
        <f t="shared" si="38"/>
        <v>0</v>
      </c>
      <c r="P79" s="15"/>
      <c r="Q79" s="15"/>
      <c r="R79" s="16"/>
      <c r="S79" s="19">
        <f t="shared" si="13"/>
        <v>41.5</v>
      </c>
      <c r="T79" s="19">
        <f t="shared" si="41"/>
        <v>622.5</v>
      </c>
      <c r="U79" s="18">
        <f t="shared" si="39"/>
        <v>30</v>
      </c>
      <c r="V79" s="127"/>
      <c r="W79" s="146"/>
      <c r="X79" s="80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</row>
    <row r="80" spans="1:51" x14ac:dyDescent="0.25">
      <c r="A80" s="50"/>
      <c r="B80" s="50"/>
      <c r="C80" s="50"/>
      <c r="D80" s="50"/>
      <c r="E80" s="50"/>
      <c r="F80" s="50"/>
      <c r="G80" s="175"/>
      <c r="H80" s="176"/>
      <c r="I80" s="177"/>
      <c r="J80" s="191"/>
      <c r="K80" s="137"/>
      <c r="L80" s="136"/>
      <c r="M80" s="136"/>
      <c r="N80" s="134"/>
      <c r="O80" s="135"/>
      <c r="P80" s="136"/>
      <c r="Q80" s="136"/>
      <c r="R80" s="136"/>
      <c r="S80" s="178">
        <f t="shared" si="13"/>
        <v>1.5</v>
      </c>
      <c r="T80" s="139"/>
      <c r="U80" s="140"/>
      <c r="V80" s="141"/>
      <c r="W80" s="142"/>
      <c r="X80" s="80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</row>
    <row r="81" spans="1:51" x14ac:dyDescent="0.25">
      <c r="A81" s="50"/>
      <c r="B81" s="50"/>
      <c r="C81" s="50"/>
      <c r="D81" s="50"/>
      <c r="E81" s="50"/>
      <c r="F81" s="50"/>
      <c r="G81" s="121">
        <f>G74+2</f>
        <v>43497</v>
      </c>
      <c r="H81" s="13" t="s">
        <v>51</v>
      </c>
      <c r="I81" s="14">
        <v>0.5</v>
      </c>
      <c r="J81" s="190">
        <f t="shared" ref="J81:J86" si="42">S81*I81</f>
        <v>50.75</v>
      </c>
      <c r="K81" s="15">
        <v>3</v>
      </c>
      <c r="L81" s="15">
        <v>8</v>
      </c>
      <c r="M81" s="16"/>
      <c r="N81" s="17"/>
      <c r="O81" s="24">
        <f t="shared" ref="O81:O86" si="43">S81*N81</f>
        <v>0</v>
      </c>
      <c r="P81" s="15"/>
      <c r="Q81" s="15"/>
      <c r="R81" s="16"/>
      <c r="S81" s="19">
        <f t="shared" si="13"/>
        <v>101.5</v>
      </c>
      <c r="T81" s="19">
        <f>K81*L81*J81+O81*P81*Q81</f>
        <v>1218</v>
      </c>
      <c r="U81" s="18">
        <f>K81*L81+P81*Q81</f>
        <v>24</v>
      </c>
      <c r="V81" s="123">
        <f>T81+T82+T83+T84+T85+T86</f>
        <v>6385.5</v>
      </c>
      <c r="W81" s="144">
        <f>U81+U82+U83+U84+U85+U86</f>
        <v>172</v>
      </c>
      <c r="X81" s="80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</row>
    <row r="82" spans="1:51" x14ac:dyDescent="0.25">
      <c r="A82" s="50"/>
      <c r="B82" s="50"/>
      <c r="C82" s="50"/>
      <c r="D82" s="50"/>
      <c r="E82" s="50"/>
      <c r="F82" s="50"/>
      <c r="G82" s="22"/>
      <c r="H82" s="13" t="s">
        <v>52</v>
      </c>
      <c r="I82" s="23">
        <v>0.5</v>
      </c>
      <c r="J82" s="190">
        <f t="shared" si="42"/>
        <v>65.75</v>
      </c>
      <c r="K82" s="15">
        <v>3</v>
      </c>
      <c r="L82" s="15">
        <v>6</v>
      </c>
      <c r="M82" s="16"/>
      <c r="N82" s="17"/>
      <c r="O82" s="24">
        <f t="shared" si="43"/>
        <v>0</v>
      </c>
      <c r="P82" s="15"/>
      <c r="Q82" s="15"/>
      <c r="R82" s="16"/>
      <c r="S82" s="19">
        <f t="shared" si="13"/>
        <v>131.5</v>
      </c>
      <c r="T82" s="19">
        <f t="shared" ref="T82:T86" si="44">K82*L82*J82+O82*P82*Q82</f>
        <v>1183.5</v>
      </c>
      <c r="U82" s="18">
        <f t="shared" ref="U82:U86" si="45">K82*L82+P82*Q82</f>
        <v>18</v>
      </c>
      <c r="V82" s="25"/>
      <c r="W82" s="26"/>
      <c r="X82" s="80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</row>
    <row r="83" spans="1:51" x14ac:dyDescent="0.25">
      <c r="A83" s="50"/>
      <c r="B83" s="50"/>
      <c r="C83" s="50"/>
      <c r="D83" s="50"/>
      <c r="E83" s="50"/>
      <c r="F83" s="50"/>
      <c r="G83" s="22"/>
      <c r="H83" s="13" t="s">
        <v>53</v>
      </c>
      <c r="I83" s="14">
        <v>0.5</v>
      </c>
      <c r="J83" s="190">
        <f t="shared" si="42"/>
        <v>23.25</v>
      </c>
      <c r="K83" s="15">
        <v>3</v>
      </c>
      <c r="L83" s="15">
        <v>10</v>
      </c>
      <c r="M83" s="16"/>
      <c r="N83" s="17"/>
      <c r="O83" s="24">
        <f t="shared" si="43"/>
        <v>0</v>
      </c>
      <c r="P83" s="15"/>
      <c r="Q83" s="15"/>
      <c r="R83" s="16"/>
      <c r="S83" s="19">
        <f t="shared" si="13"/>
        <v>46.5</v>
      </c>
      <c r="T83" s="19">
        <f t="shared" si="44"/>
        <v>697.5</v>
      </c>
      <c r="U83" s="18">
        <f t="shared" si="45"/>
        <v>30</v>
      </c>
      <c r="V83" s="25"/>
      <c r="W83" s="26"/>
      <c r="X83" s="80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</row>
    <row r="84" spans="1:51" ht="15" customHeight="1" x14ac:dyDescent="0.25">
      <c r="A84" s="50"/>
      <c r="B84" s="50"/>
      <c r="C84" s="50"/>
      <c r="D84" s="50"/>
      <c r="E84" s="50"/>
      <c r="F84" s="50"/>
      <c r="G84" s="22"/>
      <c r="H84" s="13" t="s">
        <v>54</v>
      </c>
      <c r="I84" s="14">
        <v>0.5</v>
      </c>
      <c r="J84" s="190">
        <f t="shared" si="42"/>
        <v>30.75</v>
      </c>
      <c r="K84" s="15">
        <v>3</v>
      </c>
      <c r="L84" s="15">
        <v>10</v>
      </c>
      <c r="M84" s="16"/>
      <c r="N84" s="17"/>
      <c r="O84" s="24">
        <f t="shared" si="43"/>
        <v>0</v>
      </c>
      <c r="P84" s="15"/>
      <c r="Q84" s="15"/>
      <c r="R84" s="16"/>
      <c r="S84" s="19">
        <f t="shared" si="13"/>
        <v>61.5</v>
      </c>
      <c r="T84" s="19">
        <f t="shared" si="44"/>
        <v>922.5</v>
      </c>
      <c r="U84" s="18">
        <f t="shared" si="45"/>
        <v>30</v>
      </c>
      <c r="V84" s="25"/>
      <c r="W84" s="26"/>
      <c r="X84" s="80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</row>
    <row r="85" spans="1:51" x14ac:dyDescent="0.25">
      <c r="A85" s="50"/>
      <c r="B85" s="50"/>
      <c r="C85" s="50"/>
      <c r="D85" s="50"/>
      <c r="E85" s="50"/>
      <c r="F85" s="50"/>
      <c r="G85" s="22"/>
      <c r="H85" s="13" t="s">
        <v>55</v>
      </c>
      <c r="I85" s="17">
        <v>0.5</v>
      </c>
      <c r="J85" s="190">
        <f t="shared" si="42"/>
        <v>30.75</v>
      </c>
      <c r="K85" s="15">
        <v>3</v>
      </c>
      <c r="L85" s="15">
        <v>10</v>
      </c>
      <c r="M85" s="16"/>
      <c r="N85" s="17">
        <v>0.6</v>
      </c>
      <c r="O85" s="24">
        <f t="shared" si="43"/>
        <v>36.9</v>
      </c>
      <c r="P85" s="15">
        <v>2</v>
      </c>
      <c r="Q85" s="15">
        <v>5</v>
      </c>
      <c r="R85" s="16"/>
      <c r="S85" s="19">
        <f t="shared" si="13"/>
        <v>61.5</v>
      </c>
      <c r="T85" s="19">
        <f t="shared" si="44"/>
        <v>1291.5</v>
      </c>
      <c r="U85" s="18">
        <f t="shared" si="45"/>
        <v>40</v>
      </c>
      <c r="V85" s="25"/>
      <c r="W85" s="26"/>
      <c r="X85" s="80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</row>
    <row r="86" spans="1:51" x14ac:dyDescent="0.25">
      <c r="A86" s="50"/>
      <c r="B86" s="50"/>
      <c r="C86" s="50"/>
      <c r="D86" s="50"/>
      <c r="E86" s="50"/>
      <c r="F86" s="50"/>
      <c r="G86" s="126"/>
      <c r="H86" s="13" t="s">
        <v>56</v>
      </c>
      <c r="I86" s="17">
        <v>0.5</v>
      </c>
      <c r="J86" s="190">
        <f t="shared" si="42"/>
        <v>35.75</v>
      </c>
      <c r="K86" s="15">
        <v>3</v>
      </c>
      <c r="L86" s="15">
        <v>10</v>
      </c>
      <c r="M86" s="16"/>
      <c r="N86" s="17"/>
      <c r="O86" s="24">
        <f t="shared" si="43"/>
        <v>0</v>
      </c>
      <c r="P86" s="15"/>
      <c r="Q86" s="15"/>
      <c r="R86" s="16"/>
      <c r="S86" s="19">
        <f t="shared" si="13"/>
        <v>71.5</v>
      </c>
      <c r="T86" s="19">
        <f t="shared" si="44"/>
        <v>1072.5</v>
      </c>
      <c r="U86" s="18">
        <f t="shared" si="45"/>
        <v>30</v>
      </c>
      <c r="V86" s="127"/>
      <c r="W86" s="146"/>
      <c r="X86" s="80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</row>
    <row r="87" spans="1:51" x14ac:dyDescent="0.25">
      <c r="A87" s="50"/>
      <c r="B87" s="50"/>
      <c r="C87" s="50"/>
      <c r="D87" s="50"/>
      <c r="E87" s="50"/>
      <c r="F87" s="50"/>
      <c r="G87" s="150" t="s">
        <v>58</v>
      </c>
      <c r="H87" s="151"/>
      <c r="I87" s="151"/>
      <c r="J87" s="194"/>
      <c r="K87" s="151"/>
      <c r="L87" s="151"/>
      <c r="M87" s="151"/>
      <c r="N87" s="151"/>
      <c r="O87" s="151"/>
      <c r="P87" s="151"/>
      <c r="Q87" s="151"/>
      <c r="R87" s="151"/>
      <c r="S87" s="152">
        <f t="shared" si="13"/>
        <v>1.5</v>
      </c>
      <c r="T87" s="151"/>
      <c r="U87" s="151"/>
      <c r="V87" s="114">
        <f>V88+V95+V102</f>
        <v>27285</v>
      </c>
      <c r="W87" s="114">
        <f>W88+W95+W102</f>
        <v>459</v>
      </c>
      <c r="X87" s="115">
        <f>V87/W87</f>
        <v>59.444444444444443</v>
      </c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</row>
    <row r="88" spans="1:51" x14ac:dyDescent="0.25">
      <c r="A88" s="50"/>
      <c r="B88" s="50"/>
      <c r="C88" s="50"/>
      <c r="D88" s="50"/>
      <c r="E88" s="50"/>
      <c r="F88" s="50"/>
      <c r="G88" s="121">
        <f>G81+3</f>
        <v>43500</v>
      </c>
      <c r="H88" s="13" t="s">
        <v>40</v>
      </c>
      <c r="I88" s="14">
        <v>0.60000000000000009</v>
      </c>
      <c r="J88" s="190">
        <f t="shared" ref="J88:J93" si="46">S88*I88</f>
        <v>91.200000000000017</v>
      </c>
      <c r="K88" s="15">
        <v>3</v>
      </c>
      <c r="L88" s="15">
        <v>5</v>
      </c>
      <c r="M88" s="16"/>
      <c r="N88" s="17">
        <v>0.7</v>
      </c>
      <c r="O88" s="24">
        <f>S88*N88</f>
        <v>106.39999999999999</v>
      </c>
      <c r="P88" s="15">
        <v>3</v>
      </c>
      <c r="Q88" s="15">
        <v>5</v>
      </c>
      <c r="R88" s="16"/>
      <c r="S88" s="19">
        <f t="shared" si="13"/>
        <v>152</v>
      </c>
      <c r="T88" s="19">
        <f>K88*L88*J88+O88*P88*Q88</f>
        <v>2964</v>
      </c>
      <c r="U88" s="18">
        <f>K88*L88+P88*Q88</f>
        <v>30</v>
      </c>
      <c r="V88" s="123">
        <f>T88+T89+T90+T91+T92+T93</f>
        <v>10587</v>
      </c>
      <c r="W88" s="144">
        <f>U88+U89+U90+U91+U92+U93</f>
        <v>165</v>
      </c>
      <c r="X88" s="37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</row>
    <row r="89" spans="1:51" x14ac:dyDescent="0.25">
      <c r="A89" s="50"/>
      <c r="B89" s="50"/>
      <c r="C89" s="50"/>
      <c r="D89" s="50"/>
      <c r="E89" s="50"/>
      <c r="F89" s="50"/>
      <c r="G89" s="22"/>
      <c r="H89" s="13" t="s">
        <v>41</v>
      </c>
      <c r="I89" s="14">
        <v>0.60000000000000009</v>
      </c>
      <c r="J89" s="190">
        <f t="shared" si="46"/>
        <v>82.200000000000017</v>
      </c>
      <c r="K89" s="15">
        <v>3</v>
      </c>
      <c r="L89" s="15">
        <v>5</v>
      </c>
      <c r="M89" s="16"/>
      <c r="N89" s="17">
        <v>0.7</v>
      </c>
      <c r="O89" s="24">
        <f t="shared" ref="O89:O93" si="47">S89*N89</f>
        <v>95.899999999999991</v>
      </c>
      <c r="P89" s="15">
        <v>3</v>
      </c>
      <c r="Q89" s="15">
        <v>5</v>
      </c>
      <c r="R89" s="16"/>
      <c r="S89" s="19">
        <f t="shared" ref="S89:S152" si="48">S68+0.5</f>
        <v>137</v>
      </c>
      <c r="T89" s="19">
        <f t="shared" ref="T89:T93" si="49">K89*L89*J89+O89*P89*Q89</f>
        <v>2671.5</v>
      </c>
      <c r="U89" s="18">
        <f t="shared" ref="U89:U93" si="50">K89*L89+P89*Q89</f>
        <v>30</v>
      </c>
      <c r="V89" s="25"/>
      <c r="W89" s="26"/>
      <c r="X89" s="37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</row>
    <row r="90" spans="1:51" x14ac:dyDescent="0.25">
      <c r="A90" s="50"/>
      <c r="B90" s="50"/>
      <c r="C90" s="50"/>
      <c r="D90" s="50"/>
      <c r="E90" s="50"/>
      <c r="F90" s="50"/>
      <c r="G90" s="22"/>
      <c r="H90" s="13" t="s">
        <v>42</v>
      </c>
      <c r="I90" s="14">
        <v>0.60000000000000009</v>
      </c>
      <c r="J90" s="190">
        <f t="shared" si="46"/>
        <v>67.200000000000017</v>
      </c>
      <c r="K90" s="15">
        <v>5</v>
      </c>
      <c r="L90" s="15">
        <v>5</v>
      </c>
      <c r="M90" s="16"/>
      <c r="N90" s="17"/>
      <c r="O90" s="24">
        <f t="shared" si="47"/>
        <v>0</v>
      </c>
      <c r="P90" s="15"/>
      <c r="Q90" s="15"/>
      <c r="R90" s="16"/>
      <c r="S90" s="19">
        <f t="shared" si="48"/>
        <v>112</v>
      </c>
      <c r="T90" s="19">
        <f t="shared" si="49"/>
        <v>1680.0000000000005</v>
      </c>
      <c r="U90" s="18">
        <f t="shared" si="50"/>
        <v>25</v>
      </c>
      <c r="V90" s="25"/>
      <c r="W90" s="26"/>
      <c r="X90" s="37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</row>
    <row r="91" spans="1:51" ht="15" customHeight="1" x14ac:dyDescent="0.25">
      <c r="A91" s="50"/>
      <c r="B91" s="50"/>
      <c r="C91" s="50"/>
      <c r="D91" s="50"/>
      <c r="E91" s="50"/>
      <c r="F91" s="50"/>
      <c r="G91" s="22"/>
      <c r="H91" s="13" t="s">
        <v>43</v>
      </c>
      <c r="I91" s="14">
        <v>0.60000000000000009</v>
      </c>
      <c r="J91" s="190">
        <f t="shared" si="46"/>
        <v>49.20000000000001</v>
      </c>
      <c r="K91" s="15">
        <v>5</v>
      </c>
      <c r="L91" s="15">
        <v>5</v>
      </c>
      <c r="M91" s="16"/>
      <c r="N91" s="17"/>
      <c r="O91" s="24">
        <f t="shared" si="47"/>
        <v>0</v>
      </c>
      <c r="P91" s="15"/>
      <c r="Q91" s="15"/>
      <c r="R91" s="16"/>
      <c r="S91" s="19">
        <f t="shared" si="48"/>
        <v>82</v>
      </c>
      <c r="T91" s="19">
        <f t="shared" si="49"/>
        <v>1230.0000000000002</v>
      </c>
      <c r="U91" s="18">
        <f t="shared" si="50"/>
        <v>25</v>
      </c>
      <c r="V91" s="25"/>
      <c r="W91" s="26"/>
      <c r="X91" s="37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</row>
    <row r="92" spans="1:51" x14ac:dyDescent="0.25">
      <c r="A92" s="50"/>
      <c r="B92" s="50"/>
      <c r="C92" s="50"/>
      <c r="D92" s="50"/>
      <c r="E92" s="50"/>
      <c r="F92" s="50"/>
      <c r="G92" s="22"/>
      <c r="H92" s="13" t="s">
        <v>44</v>
      </c>
      <c r="I92" s="14">
        <v>0.60000000000000009</v>
      </c>
      <c r="J92" s="190">
        <f t="shared" si="46"/>
        <v>31.200000000000003</v>
      </c>
      <c r="K92" s="15">
        <v>3</v>
      </c>
      <c r="L92" s="15">
        <v>10</v>
      </c>
      <c r="M92" s="16"/>
      <c r="N92" s="17"/>
      <c r="O92" s="24">
        <f t="shared" si="47"/>
        <v>0</v>
      </c>
      <c r="P92" s="15"/>
      <c r="Q92" s="15"/>
      <c r="R92" s="16"/>
      <c r="S92" s="19">
        <f t="shared" si="48"/>
        <v>52</v>
      </c>
      <c r="T92" s="19">
        <f t="shared" si="49"/>
        <v>936.00000000000011</v>
      </c>
      <c r="U92" s="18">
        <f t="shared" si="50"/>
        <v>30</v>
      </c>
      <c r="V92" s="25"/>
      <c r="W92" s="26"/>
      <c r="X92" s="37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</row>
    <row r="93" spans="1:51" x14ac:dyDescent="0.25">
      <c r="A93" s="50"/>
      <c r="B93" s="50"/>
      <c r="C93" s="50"/>
      <c r="D93" s="50"/>
      <c r="E93" s="50"/>
      <c r="F93" s="50"/>
      <c r="G93" s="126"/>
      <c r="H93" s="13" t="s">
        <v>45</v>
      </c>
      <c r="I93" s="14">
        <v>0.60000000000000009</v>
      </c>
      <c r="J93" s="190">
        <f t="shared" si="46"/>
        <v>40.200000000000003</v>
      </c>
      <c r="K93" s="15">
        <v>1</v>
      </c>
      <c r="L93" s="15">
        <v>10</v>
      </c>
      <c r="M93" s="16"/>
      <c r="N93" s="17">
        <v>0.7</v>
      </c>
      <c r="O93" s="24">
        <f t="shared" si="47"/>
        <v>46.9</v>
      </c>
      <c r="P93" s="15">
        <v>3</v>
      </c>
      <c r="Q93" s="15">
        <v>5</v>
      </c>
      <c r="R93" s="16"/>
      <c r="S93" s="19">
        <f t="shared" si="48"/>
        <v>67</v>
      </c>
      <c r="T93" s="19">
        <f t="shared" si="49"/>
        <v>1105.5</v>
      </c>
      <c r="U93" s="18">
        <f t="shared" si="50"/>
        <v>25</v>
      </c>
      <c r="V93" s="127"/>
      <c r="W93" s="146"/>
      <c r="X93" s="37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</row>
    <row r="94" spans="1:51" x14ac:dyDescent="0.25">
      <c r="A94" s="50"/>
      <c r="B94" s="50"/>
      <c r="C94" s="50"/>
      <c r="D94" s="50"/>
      <c r="E94" s="50"/>
      <c r="F94" s="50"/>
      <c r="G94" s="153"/>
      <c r="H94" s="167"/>
      <c r="I94" s="179">
        <v>0</v>
      </c>
      <c r="J94" s="191"/>
      <c r="K94" s="137"/>
      <c r="L94" s="136"/>
      <c r="M94" s="136"/>
      <c r="N94" s="134"/>
      <c r="O94" s="135"/>
      <c r="P94" s="136"/>
      <c r="Q94" s="136"/>
      <c r="R94" s="136"/>
      <c r="S94" s="139">
        <f t="shared" si="48"/>
        <v>2</v>
      </c>
      <c r="T94" s="139"/>
      <c r="U94" s="171"/>
      <c r="V94" s="162"/>
      <c r="W94" s="162"/>
      <c r="X94" s="37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</row>
    <row r="95" spans="1:51" x14ac:dyDescent="0.25">
      <c r="A95" s="50"/>
      <c r="B95" s="50"/>
      <c r="C95" s="50"/>
      <c r="D95" s="50"/>
      <c r="E95" s="50"/>
      <c r="F95" s="50"/>
      <c r="G95" s="121">
        <f>G88+2</f>
        <v>43502</v>
      </c>
      <c r="H95" s="13" t="s">
        <v>46</v>
      </c>
      <c r="I95" s="14">
        <v>0.60000000000000009</v>
      </c>
      <c r="J95" s="190">
        <f t="shared" ref="J95:J100" si="51">S95*I95</f>
        <v>85.200000000000017</v>
      </c>
      <c r="K95" s="15">
        <v>5</v>
      </c>
      <c r="L95" s="15">
        <v>5</v>
      </c>
      <c r="M95" s="16"/>
      <c r="N95" s="17"/>
      <c r="O95" s="24">
        <f>S95*N95</f>
        <v>0</v>
      </c>
      <c r="P95" s="15"/>
      <c r="Q95" s="15"/>
      <c r="R95" s="16"/>
      <c r="S95" s="19">
        <f t="shared" si="48"/>
        <v>142</v>
      </c>
      <c r="T95" s="19">
        <f>K95*L95*J95+O95*P95*Q95</f>
        <v>2130.0000000000005</v>
      </c>
      <c r="U95" s="18">
        <f t="shared" ref="U95:U100" si="52">K95*L95+P95*Q95</f>
        <v>25</v>
      </c>
      <c r="V95" s="123">
        <f>T95+T96+T97+T98+T99+T100</f>
        <v>9632.5000000000018</v>
      </c>
      <c r="W95" s="144">
        <f>U95+U96+U97+U98+U99+U100</f>
        <v>155</v>
      </c>
      <c r="X95" s="37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</row>
    <row r="96" spans="1:51" x14ac:dyDescent="0.25">
      <c r="A96" s="50"/>
      <c r="B96" s="50"/>
      <c r="C96" s="50"/>
      <c r="D96" s="50"/>
      <c r="E96" s="50"/>
      <c r="F96" s="50"/>
      <c r="G96" s="30"/>
      <c r="H96" s="13" t="s">
        <v>47</v>
      </c>
      <c r="I96" s="14">
        <v>0.60000000000000009</v>
      </c>
      <c r="J96" s="190">
        <f t="shared" si="51"/>
        <v>55.20000000000001</v>
      </c>
      <c r="K96" s="15">
        <v>5</v>
      </c>
      <c r="L96" s="15">
        <v>5</v>
      </c>
      <c r="M96" s="16"/>
      <c r="N96" s="17"/>
      <c r="O96" s="24">
        <f t="shared" ref="O96:O100" si="53">S96*N96</f>
        <v>0</v>
      </c>
      <c r="P96" s="15"/>
      <c r="Q96" s="15"/>
      <c r="R96" s="16"/>
      <c r="S96" s="19">
        <f t="shared" si="48"/>
        <v>92</v>
      </c>
      <c r="T96" s="19">
        <f t="shared" ref="T96:T100" si="54">K96*L96*J96+O96*P96*Q96</f>
        <v>1380.0000000000002</v>
      </c>
      <c r="U96" s="18">
        <f t="shared" si="52"/>
        <v>25</v>
      </c>
      <c r="V96" s="25"/>
      <c r="W96" s="26"/>
      <c r="X96" s="37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</row>
    <row r="97" spans="1:51" x14ac:dyDescent="0.25">
      <c r="A97" s="50"/>
      <c r="B97" s="50"/>
      <c r="C97" s="50"/>
      <c r="D97" s="50"/>
      <c r="E97" s="50"/>
      <c r="F97" s="50"/>
      <c r="G97" s="30"/>
      <c r="H97" s="13" t="s">
        <v>41</v>
      </c>
      <c r="I97" s="14">
        <v>0.60000000000000009</v>
      </c>
      <c r="J97" s="190">
        <f t="shared" si="51"/>
        <v>82.200000000000017</v>
      </c>
      <c r="K97" s="15">
        <v>3</v>
      </c>
      <c r="L97" s="15">
        <v>5</v>
      </c>
      <c r="M97" s="16"/>
      <c r="N97" s="17">
        <v>0.7</v>
      </c>
      <c r="O97" s="24">
        <f t="shared" si="53"/>
        <v>95.899999999999991</v>
      </c>
      <c r="P97" s="15">
        <v>3</v>
      </c>
      <c r="Q97" s="15">
        <v>5</v>
      </c>
      <c r="R97" s="16"/>
      <c r="S97" s="19">
        <f t="shared" si="48"/>
        <v>137</v>
      </c>
      <c r="T97" s="19">
        <f t="shared" si="54"/>
        <v>2671.5</v>
      </c>
      <c r="U97" s="18">
        <f t="shared" si="52"/>
        <v>30</v>
      </c>
      <c r="V97" s="25"/>
      <c r="W97" s="26"/>
      <c r="X97" s="37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</row>
    <row r="98" spans="1:51" ht="15" customHeight="1" x14ac:dyDescent="0.25">
      <c r="A98" s="50"/>
      <c r="B98" s="50"/>
      <c r="C98" s="50"/>
      <c r="D98" s="50"/>
      <c r="E98" s="50"/>
      <c r="F98" s="50"/>
      <c r="G98" s="30"/>
      <c r="H98" s="13" t="s">
        <v>48</v>
      </c>
      <c r="I98" s="14">
        <v>0.5</v>
      </c>
      <c r="J98" s="190">
        <f t="shared" si="51"/>
        <v>61</v>
      </c>
      <c r="K98" s="15">
        <v>1</v>
      </c>
      <c r="L98" s="15">
        <v>10</v>
      </c>
      <c r="M98" s="16"/>
      <c r="N98" s="17">
        <v>0.7</v>
      </c>
      <c r="O98" s="24">
        <f t="shared" si="53"/>
        <v>85.399999999999991</v>
      </c>
      <c r="P98" s="15">
        <v>3</v>
      </c>
      <c r="Q98" s="15">
        <v>5</v>
      </c>
      <c r="R98" s="16"/>
      <c r="S98" s="19">
        <f t="shared" si="48"/>
        <v>122</v>
      </c>
      <c r="T98" s="19">
        <f t="shared" si="54"/>
        <v>1891</v>
      </c>
      <c r="U98" s="18">
        <f t="shared" si="52"/>
        <v>25</v>
      </c>
      <c r="V98" s="25"/>
      <c r="W98" s="26"/>
      <c r="X98" s="37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</row>
    <row r="99" spans="1:51" x14ac:dyDescent="0.25">
      <c r="A99" s="50"/>
      <c r="B99" s="50"/>
      <c r="C99" s="50"/>
      <c r="D99" s="50"/>
      <c r="E99" s="50"/>
      <c r="F99" s="50"/>
      <c r="G99" s="30"/>
      <c r="H99" s="13" t="s">
        <v>49</v>
      </c>
      <c r="I99" s="14">
        <v>0.60000000000000009</v>
      </c>
      <c r="J99" s="190">
        <f t="shared" si="51"/>
        <v>37.200000000000003</v>
      </c>
      <c r="K99" s="15">
        <v>5</v>
      </c>
      <c r="L99" s="15">
        <v>5</v>
      </c>
      <c r="M99" s="16"/>
      <c r="N99" s="17"/>
      <c r="O99" s="24">
        <f t="shared" si="53"/>
        <v>0</v>
      </c>
      <c r="P99" s="15"/>
      <c r="Q99" s="15"/>
      <c r="R99" s="16"/>
      <c r="S99" s="19">
        <f t="shared" si="48"/>
        <v>62</v>
      </c>
      <c r="T99" s="19">
        <f t="shared" si="54"/>
        <v>930.00000000000011</v>
      </c>
      <c r="U99" s="18">
        <f t="shared" si="52"/>
        <v>25</v>
      </c>
      <c r="V99" s="25"/>
      <c r="W99" s="26"/>
      <c r="X99" s="37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</row>
    <row r="100" spans="1:51" x14ac:dyDescent="0.25">
      <c r="A100" s="50"/>
      <c r="B100" s="50"/>
      <c r="C100" s="50"/>
      <c r="D100" s="50"/>
      <c r="E100" s="50"/>
      <c r="F100" s="50"/>
      <c r="G100" s="158"/>
      <c r="H100" s="13" t="s">
        <v>50</v>
      </c>
      <c r="I100" s="14">
        <v>0.60000000000000009</v>
      </c>
      <c r="J100" s="190">
        <f t="shared" si="51"/>
        <v>25.200000000000003</v>
      </c>
      <c r="K100" s="15">
        <v>5</v>
      </c>
      <c r="L100" s="15">
        <v>5</v>
      </c>
      <c r="M100" s="16"/>
      <c r="N100" s="17"/>
      <c r="O100" s="24">
        <f t="shared" si="53"/>
        <v>0</v>
      </c>
      <c r="P100" s="15"/>
      <c r="Q100" s="15"/>
      <c r="R100" s="16"/>
      <c r="S100" s="19">
        <f t="shared" si="48"/>
        <v>42</v>
      </c>
      <c r="T100" s="19">
        <f t="shared" si="54"/>
        <v>630.00000000000011</v>
      </c>
      <c r="U100" s="18">
        <f t="shared" si="52"/>
        <v>25</v>
      </c>
      <c r="V100" s="127"/>
      <c r="W100" s="146"/>
      <c r="X100" s="37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</row>
    <row r="101" spans="1:51" x14ac:dyDescent="0.25">
      <c r="A101" s="50"/>
      <c r="B101" s="50"/>
      <c r="C101" s="50"/>
      <c r="D101" s="50"/>
      <c r="E101" s="50"/>
      <c r="F101" s="50"/>
      <c r="G101" s="180"/>
      <c r="H101" s="176"/>
      <c r="I101" s="177">
        <v>0</v>
      </c>
      <c r="J101" s="191"/>
      <c r="K101" s="181"/>
      <c r="L101" s="182"/>
      <c r="M101" s="182"/>
      <c r="N101" s="183" t="s">
        <v>69</v>
      </c>
      <c r="O101" s="184"/>
      <c r="P101" s="182"/>
      <c r="Q101" s="182"/>
      <c r="R101" s="182"/>
      <c r="S101" s="139">
        <f t="shared" si="48"/>
        <v>2</v>
      </c>
      <c r="T101" s="139"/>
      <c r="U101" s="171"/>
      <c r="V101" s="157"/>
      <c r="W101" s="157"/>
      <c r="X101" s="37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</row>
    <row r="102" spans="1:51" x14ac:dyDescent="0.25">
      <c r="A102" s="50"/>
      <c r="B102" s="50"/>
      <c r="C102" s="50"/>
      <c r="D102" s="50"/>
      <c r="E102" s="50"/>
      <c r="F102" s="50"/>
      <c r="G102" s="121">
        <f>G95+2</f>
        <v>43504</v>
      </c>
      <c r="H102" s="13" t="s">
        <v>51</v>
      </c>
      <c r="I102" s="14">
        <v>0.69999999999999984</v>
      </c>
      <c r="J102" s="190">
        <f t="shared" ref="J102:J107" si="55">S102*I102</f>
        <v>71.399999999999977</v>
      </c>
      <c r="K102" s="15">
        <v>3</v>
      </c>
      <c r="L102" s="15">
        <v>5</v>
      </c>
      <c r="M102" s="16"/>
      <c r="N102" s="17"/>
      <c r="O102" s="24">
        <f>S102*N102</f>
        <v>0</v>
      </c>
      <c r="P102" s="15"/>
      <c r="Q102" s="15"/>
      <c r="R102" s="16"/>
      <c r="S102" s="19">
        <f t="shared" si="48"/>
        <v>102</v>
      </c>
      <c r="T102" s="19">
        <f>K102*L102*J102+O102*P102*Q102</f>
        <v>1070.9999999999995</v>
      </c>
      <c r="U102" s="18">
        <f t="shared" ref="U102:U107" si="56">K102*L102+P102*Q102</f>
        <v>15</v>
      </c>
      <c r="V102" s="123">
        <f>T102+T103+T104+T105+T106+T107</f>
        <v>7065.5</v>
      </c>
      <c r="W102" s="144">
        <f>U102+U103+U104+U105+U106+U107</f>
        <v>139</v>
      </c>
      <c r="X102" s="37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</row>
    <row r="103" spans="1:51" x14ac:dyDescent="0.25">
      <c r="A103" s="50"/>
      <c r="B103" s="50"/>
      <c r="C103" s="50"/>
      <c r="D103" s="50"/>
      <c r="E103" s="50"/>
      <c r="F103" s="50"/>
      <c r="G103" s="30"/>
      <c r="H103" s="13" t="s">
        <v>52</v>
      </c>
      <c r="I103" s="14">
        <v>0.60000000000000009</v>
      </c>
      <c r="J103" s="190">
        <f t="shared" si="55"/>
        <v>79.200000000000017</v>
      </c>
      <c r="K103" s="15">
        <v>2</v>
      </c>
      <c r="L103" s="15">
        <v>5</v>
      </c>
      <c r="M103" s="16"/>
      <c r="N103" s="17">
        <v>0.75</v>
      </c>
      <c r="O103" s="24">
        <f t="shared" ref="O103:O107" si="57">S103*N103</f>
        <v>99</v>
      </c>
      <c r="P103" s="15">
        <v>3</v>
      </c>
      <c r="Q103" s="15">
        <v>3</v>
      </c>
      <c r="R103" s="16"/>
      <c r="S103" s="19">
        <f t="shared" si="48"/>
        <v>132</v>
      </c>
      <c r="T103" s="19">
        <f t="shared" ref="T103:T107" si="58">K103*L103*J103+O103*P103*Q103</f>
        <v>1683.0000000000002</v>
      </c>
      <c r="U103" s="18">
        <f t="shared" si="56"/>
        <v>19</v>
      </c>
      <c r="V103" s="25"/>
      <c r="W103" s="26"/>
      <c r="X103" s="37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</row>
    <row r="104" spans="1:51" x14ac:dyDescent="0.25">
      <c r="A104" s="50"/>
      <c r="B104" s="50"/>
      <c r="C104" s="50"/>
      <c r="D104" s="50"/>
      <c r="E104" s="50"/>
      <c r="F104" s="50"/>
      <c r="G104" s="30"/>
      <c r="H104" s="13" t="s">
        <v>53</v>
      </c>
      <c r="I104" s="14">
        <v>0.60000000000000009</v>
      </c>
      <c r="J104" s="190">
        <f t="shared" si="55"/>
        <v>28.200000000000003</v>
      </c>
      <c r="K104" s="15">
        <v>5</v>
      </c>
      <c r="L104" s="15">
        <v>5</v>
      </c>
      <c r="M104" s="16"/>
      <c r="N104" s="17"/>
      <c r="O104" s="24">
        <f t="shared" si="57"/>
        <v>0</v>
      </c>
      <c r="P104" s="15"/>
      <c r="Q104" s="15"/>
      <c r="R104" s="16"/>
      <c r="S104" s="19">
        <f t="shared" si="48"/>
        <v>47</v>
      </c>
      <c r="T104" s="19">
        <f t="shared" si="58"/>
        <v>705.00000000000011</v>
      </c>
      <c r="U104" s="18">
        <f t="shared" si="56"/>
        <v>25</v>
      </c>
      <c r="V104" s="25"/>
      <c r="W104" s="26"/>
      <c r="X104" s="37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</row>
    <row r="105" spans="1:51" ht="15" customHeight="1" x14ac:dyDescent="0.25">
      <c r="A105" s="50"/>
      <c r="B105" s="50"/>
      <c r="C105" s="50"/>
      <c r="D105" s="50"/>
      <c r="E105" s="50"/>
      <c r="F105" s="50"/>
      <c r="G105" s="30"/>
      <c r="H105" s="13" t="s">
        <v>54</v>
      </c>
      <c r="I105" s="14">
        <v>0.60000000000000009</v>
      </c>
      <c r="J105" s="190">
        <f t="shared" si="55"/>
        <v>37.200000000000003</v>
      </c>
      <c r="K105" s="15">
        <v>3</v>
      </c>
      <c r="L105" s="15">
        <v>5</v>
      </c>
      <c r="M105" s="16"/>
      <c r="N105" s="17">
        <v>0.7</v>
      </c>
      <c r="O105" s="24">
        <f t="shared" si="57"/>
        <v>43.4</v>
      </c>
      <c r="P105" s="15">
        <v>3</v>
      </c>
      <c r="Q105" s="15">
        <v>5</v>
      </c>
      <c r="R105" s="16"/>
      <c r="S105" s="19">
        <f t="shared" si="48"/>
        <v>62</v>
      </c>
      <c r="T105" s="19">
        <f t="shared" si="58"/>
        <v>1209</v>
      </c>
      <c r="U105" s="18">
        <f t="shared" si="56"/>
        <v>30</v>
      </c>
      <c r="V105" s="25"/>
      <c r="W105" s="26"/>
      <c r="X105" s="37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</row>
    <row r="106" spans="1:51" x14ac:dyDescent="0.25">
      <c r="A106" s="50"/>
      <c r="B106" s="50"/>
      <c r="C106" s="50"/>
      <c r="D106" s="50"/>
      <c r="E106" s="50"/>
      <c r="F106" s="50"/>
      <c r="G106" s="30"/>
      <c r="H106" s="13" t="s">
        <v>55</v>
      </c>
      <c r="I106" s="14">
        <v>0.85</v>
      </c>
      <c r="J106" s="190">
        <f t="shared" si="55"/>
        <v>52.699999999999996</v>
      </c>
      <c r="K106" s="15">
        <v>5</v>
      </c>
      <c r="L106" s="15">
        <v>5</v>
      </c>
      <c r="M106" s="16"/>
      <c r="N106" s="17"/>
      <c r="O106" s="24">
        <f t="shared" si="57"/>
        <v>0</v>
      </c>
      <c r="P106" s="15"/>
      <c r="Q106" s="15"/>
      <c r="R106" s="16"/>
      <c r="S106" s="19">
        <f t="shared" si="48"/>
        <v>62</v>
      </c>
      <c r="T106" s="19">
        <f t="shared" si="58"/>
        <v>1317.5</v>
      </c>
      <c r="U106" s="18">
        <f t="shared" si="56"/>
        <v>25</v>
      </c>
      <c r="V106" s="25"/>
      <c r="W106" s="26"/>
      <c r="X106" s="37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</row>
    <row r="107" spans="1:51" x14ac:dyDescent="0.25">
      <c r="A107" s="50"/>
      <c r="B107" s="50"/>
      <c r="C107" s="50"/>
      <c r="D107" s="50"/>
      <c r="E107" s="50"/>
      <c r="F107" s="50"/>
      <c r="G107" s="158"/>
      <c r="H107" s="13" t="s">
        <v>56</v>
      </c>
      <c r="I107" s="14">
        <v>0.60000000000000009</v>
      </c>
      <c r="J107" s="190">
        <f t="shared" si="55"/>
        <v>43.2</v>
      </c>
      <c r="K107" s="15">
        <v>5</v>
      </c>
      <c r="L107" s="15">
        <v>5</v>
      </c>
      <c r="M107" s="16"/>
      <c r="N107" s="17"/>
      <c r="O107" s="24">
        <f t="shared" si="57"/>
        <v>0</v>
      </c>
      <c r="P107" s="15"/>
      <c r="Q107" s="15"/>
      <c r="R107" s="16"/>
      <c r="S107" s="19">
        <f t="shared" si="48"/>
        <v>72</v>
      </c>
      <c r="T107" s="19">
        <f t="shared" si="58"/>
        <v>1080</v>
      </c>
      <c r="U107" s="18">
        <f t="shared" si="56"/>
        <v>25</v>
      </c>
      <c r="V107" s="127"/>
      <c r="W107" s="146"/>
      <c r="X107" s="37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</row>
    <row r="108" spans="1:51" x14ac:dyDescent="0.25">
      <c r="A108" s="50"/>
      <c r="B108" s="50"/>
      <c r="C108" s="50"/>
      <c r="D108" s="50"/>
      <c r="E108" s="50"/>
      <c r="F108" s="50"/>
      <c r="G108" s="150" t="s">
        <v>59</v>
      </c>
      <c r="H108" s="150"/>
      <c r="I108" s="150"/>
      <c r="J108" s="194"/>
      <c r="K108" s="150"/>
      <c r="L108" s="150"/>
      <c r="M108" s="150"/>
      <c r="N108" s="150"/>
      <c r="O108" s="150"/>
      <c r="P108" s="150"/>
      <c r="Q108" s="150"/>
      <c r="R108" s="150"/>
      <c r="S108" s="163">
        <f t="shared" si="48"/>
        <v>2</v>
      </c>
      <c r="T108" s="150"/>
      <c r="U108" s="150"/>
      <c r="V108" s="114">
        <f>V109+V116+V123</f>
        <v>28642.5</v>
      </c>
      <c r="W108" s="114">
        <f>W109+W116+W123</f>
        <v>432</v>
      </c>
      <c r="X108" s="115">
        <f>V108/W108</f>
        <v>66.302083333333329</v>
      </c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</row>
    <row r="109" spans="1:51" x14ac:dyDescent="0.25">
      <c r="A109" s="50"/>
      <c r="B109" s="50"/>
      <c r="C109" s="50"/>
      <c r="D109" s="50"/>
      <c r="E109" s="50"/>
      <c r="F109" s="50"/>
      <c r="G109" s="121">
        <f>G102+3</f>
        <v>43507</v>
      </c>
      <c r="H109" s="13" t="s">
        <v>40</v>
      </c>
      <c r="I109" s="14">
        <v>0.60000000000000009</v>
      </c>
      <c r="J109" s="190">
        <f t="shared" ref="J109:J114" si="59">S109*I109</f>
        <v>91.500000000000014</v>
      </c>
      <c r="K109" s="15">
        <v>3</v>
      </c>
      <c r="L109" s="15">
        <v>5</v>
      </c>
      <c r="M109" s="16"/>
      <c r="N109" s="17">
        <v>0.75</v>
      </c>
      <c r="O109" s="24">
        <f>S109*N109</f>
        <v>114.375</v>
      </c>
      <c r="P109" s="15">
        <v>3</v>
      </c>
      <c r="Q109" s="15">
        <v>3</v>
      </c>
      <c r="R109" s="16"/>
      <c r="S109" s="19">
        <f t="shared" si="48"/>
        <v>152.5</v>
      </c>
      <c r="T109" s="19">
        <f>K109*L109*J109+O109*P109*Q109</f>
        <v>2401.875</v>
      </c>
      <c r="U109" s="18">
        <f>K109*L109+P109*Q109</f>
        <v>24</v>
      </c>
      <c r="V109" s="123">
        <f>T109+T110+T111+T112+T113+T114</f>
        <v>10915.75</v>
      </c>
      <c r="W109" s="144">
        <f>U109+U110+U111+U112+U113+U114</f>
        <v>156</v>
      </c>
      <c r="X109" s="38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</row>
    <row r="110" spans="1:51" x14ac:dyDescent="0.25">
      <c r="A110" s="50"/>
      <c r="B110" s="50"/>
      <c r="C110" s="50"/>
      <c r="D110" s="50"/>
      <c r="E110" s="50"/>
      <c r="F110" s="50"/>
      <c r="G110" s="30"/>
      <c r="H110" s="13" t="s">
        <v>41</v>
      </c>
      <c r="I110" s="14">
        <v>0.65000000000000013</v>
      </c>
      <c r="J110" s="190">
        <f t="shared" si="59"/>
        <v>89.375000000000014</v>
      </c>
      <c r="K110" s="15">
        <v>2</v>
      </c>
      <c r="L110" s="15">
        <v>5</v>
      </c>
      <c r="M110" s="16"/>
      <c r="N110" s="17">
        <v>0.85</v>
      </c>
      <c r="O110" s="24">
        <f t="shared" ref="O110:O114" si="60">S110*N110</f>
        <v>116.875</v>
      </c>
      <c r="P110" s="15">
        <v>5</v>
      </c>
      <c r="Q110" s="15">
        <v>4</v>
      </c>
      <c r="R110" s="16"/>
      <c r="S110" s="19">
        <f t="shared" si="48"/>
        <v>137.5</v>
      </c>
      <c r="T110" s="19">
        <f t="shared" ref="T110:T114" si="61">K110*L110*J110+O110*P110*Q110</f>
        <v>3231.25</v>
      </c>
      <c r="U110" s="18">
        <f t="shared" ref="U110:U114" si="62">K110*L110+P110*Q110</f>
        <v>30</v>
      </c>
      <c r="V110" s="25"/>
      <c r="W110" s="26"/>
      <c r="X110" s="38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</row>
    <row r="111" spans="1:51" x14ac:dyDescent="0.25">
      <c r="A111" s="50"/>
      <c r="B111" s="50"/>
      <c r="C111" s="50"/>
      <c r="D111" s="50"/>
      <c r="E111" s="50"/>
      <c r="F111" s="50"/>
      <c r="G111" s="30"/>
      <c r="H111" s="13" t="s">
        <v>42</v>
      </c>
      <c r="I111" s="14">
        <v>0.65000000000000013</v>
      </c>
      <c r="J111" s="190">
        <f t="shared" si="59"/>
        <v>73.125000000000014</v>
      </c>
      <c r="K111" s="15">
        <v>1</v>
      </c>
      <c r="L111" s="15">
        <v>8</v>
      </c>
      <c r="M111" s="16"/>
      <c r="N111" s="17">
        <v>0.7</v>
      </c>
      <c r="O111" s="24">
        <f t="shared" si="60"/>
        <v>78.75</v>
      </c>
      <c r="P111" s="15">
        <v>3</v>
      </c>
      <c r="Q111" s="15">
        <v>5</v>
      </c>
      <c r="R111" s="16"/>
      <c r="S111" s="19">
        <f t="shared" si="48"/>
        <v>112.5</v>
      </c>
      <c r="T111" s="19">
        <f t="shared" si="61"/>
        <v>1766.25</v>
      </c>
      <c r="U111" s="18">
        <f t="shared" si="62"/>
        <v>23</v>
      </c>
      <c r="V111" s="25"/>
      <c r="W111" s="26"/>
      <c r="X111" s="38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</row>
    <row r="112" spans="1:51" ht="15" customHeight="1" x14ac:dyDescent="0.25">
      <c r="A112" s="50"/>
      <c r="B112" s="50"/>
      <c r="C112" s="50"/>
      <c r="D112" s="50"/>
      <c r="E112" s="50"/>
      <c r="F112" s="50"/>
      <c r="G112" s="30"/>
      <c r="H112" s="13" t="s">
        <v>43</v>
      </c>
      <c r="I112" s="14">
        <v>0.60000000000000009</v>
      </c>
      <c r="J112" s="190">
        <f t="shared" si="59"/>
        <v>49.500000000000007</v>
      </c>
      <c r="K112" s="15">
        <v>1</v>
      </c>
      <c r="L112" s="15">
        <v>8</v>
      </c>
      <c r="M112" s="16"/>
      <c r="N112" s="17">
        <v>0.7</v>
      </c>
      <c r="O112" s="24">
        <f t="shared" si="60"/>
        <v>57.749999999999993</v>
      </c>
      <c r="P112" s="15">
        <v>3</v>
      </c>
      <c r="Q112" s="15">
        <v>5</v>
      </c>
      <c r="R112" s="16"/>
      <c r="S112" s="19">
        <f t="shared" si="48"/>
        <v>82.5</v>
      </c>
      <c r="T112" s="19">
        <f t="shared" si="61"/>
        <v>1262.25</v>
      </c>
      <c r="U112" s="18">
        <f t="shared" si="62"/>
        <v>23</v>
      </c>
      <c r="V112" s="25"/>
      <c r="W112" s="26"/>
      <c r="X112" s="38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</row>
    <row r="113" spans="1:51" x14ac:dyDescent="0.25">
      <c r="A113" s="50"/>
      <c r="B113" s="50"/>
      <c r="C113" s="50"/>
      <c r="D113" s="50"/>
      <c r="E113" s="50"/>
      <c r="F113" s="50"/>
      <c r="G113" s="30"/>
      <c r="H113" s="13" t="s">
        <v>44</v>
      </c>
      <c r="I113" s="14">
        <v>0.60000000000000009</v>
      </c>
      <c r="J113" s="190">
        <f t="shared" si="59"/>
        <v>31.500000000000004</v>
      </c>
      <c r="K113" s="15">
        <v>1</v>
      </c>
      <c r="L113" s="15">
        <v>8</v>
      </c>
      <c r="M113" s="16"/>
      <c r="N113" s="17">
        <v>0.7</v>
      </c>
      <c r="O113" s="24">
        <f t="shared" si="60"/>
        <v>36.75</v>
      </c>
      <c r="P113" s="15">
        <v>5</v>
      </c>
      <c r="Q113" s="15">
        <v>5</v>
      </c>
      <c r="R113" s="16"/>
      <c r="S113" s="19">
        <f t="shared" si="48"/>
        <v>52.5</v>
      </c>
      <c r="T113" s="19">
        <f t="shared" si="61"/>
        <v>1170.75</v>
      </c>
      <c r="U113" s="18">
        <f t="shared" si="62"/>
        <v>33</v>
      </c>
      <c r="V113" s="25"/>
      <c r="W113" s="26"/>
      <c r="X113" s="38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</row>
    <row r="114" spans="1:51" x14ac:dyDescent="0.25">
      <c r="A114" s="50"/>
      <c r="B114" s="50"/>
      <c r="C114" s="50"/>
      <c r="D114" s="50"/>
      <c r="E114" s="50"/>
      <c r="F114" s="50"/>
      <c r="G114" s="158"/>
      <c r="H114" s="13" t="s">
        <v>45</v>
      </c>
      <c r="I114" s="14">
        <v>0.60000000000000009</v>
      </c>
      <c r="J114" s="190">
        <f t="shared" si="59"/>
        <v>40.500000000000007</v>
      </c>
      <c r="K114" s="15">
        <v>1</v>
      </c>
      <c r="L114" s="15">
        <v>8</v>
      </c>
      <c r="M114" s="16"/>
      <c r="N114" s="17">
        <v>0.75</v>
      </c>
      <c r="O114" s="24">
        <f t="shared" si="60"/>
        <v>50.625</v>
      </c>
      <c r="P114" s="15">
        <v>3</v>
      </c>
      <c r="Q114" s="15">
        <v>5</v>
      </c>
      <c r="R114" s="16"/>
      <c r="S114" s="19">
        <f t="shared" si="48"/>
        <v>67.5</v>
      </c>
      <c r="T114" s="19">
        <f t="shared" si="61"/>
        <v>1083.375</v>
      </c>
      <c r="U114" s="18">
        <f t="shared" si="62"/>
        <v>23</v>
      </c>
      <c r="V114" s="127"/>
      <c r="W114" s="146"/>
      <c r="X114" s="38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</row>
    <row r="115" spans="1:51" x14ac:dyDescent="0.25">
      <c r="A115" s="50"/>
      <c r="B115" s="50"/>
      <c r="C115" s="50"/>
      <c r="D115" s="50"/>
      <c r="E115" s="50"/>
      <c r="F115" s="50"/>
      <c r="G115" s="159"/>
      <c r="H115" s="167"/>
      <c r="I115" s="179">
        <v>0</v>
      </c>
      <c r="J115" s="191"/>
      <c r="K115" s="137"/>
      <c r="L115" s="136"/>
      <c r="M115" s="136"/>
      <c r="N115" s="134"/>
      <c r="O115" s="135"/>
      <c r="P115" s="136"/>
      <c r="Q115" s="136"/>
      <c r="R115" s="136"/>
      <c r="S115" s="139">
        <f t="shared" si="48"/>
        <v>2.5</v>
      </c>
      <c r="T115" s="139"/>
      <c r="U115" s="171"/>
      <c r="V115" s="157"/>
      <c r="W115" s="157"/>
      <c r="X115" s="38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</row>
    <row r="116" spans="1:51" x14ac:dyDescent="0.25">
      <c r="A116" s="50"/>
      <c r="B116" s="50"/>
      <c r="C116" s="50"/>
      <c r="D116" s="50"/>
      <c r="E116" s="50"/>
      <c r="F116" s="50"/>
      <c r="G116" s="121">
        <f>G109+2</f>
        <v>43509</v>
      </c>
      <c r="H116" s="13" t="s">
        <v>46</v>
      </c>
      <c r="I116" s="14">
        <v>0.65000000000000013</v>
      </c>
      <c r="J116" s="190">
        <f t="shared" ref="J116:J121" si="63">S116*I116</f>
        <v>92.625000000000014</v>
      </c>
      <c r="K116" s="15">
        <v>2</v>
      </c>
      <c r="L116" s="15">
        <v>8</v>
      </c>
      <c r="M116" s="16"/>
      <c r="N116" s="17">
        <v>0.8</v>
      </c>
      <c r="O116" s="24">
        <f>S116*N116</f>
        <v>114</v>
      </c>
      <c r="P116" s="15">
        <v>5</v>
      </c>
      <c r="Q116" s="15">
        <v>5</v>
      </c>
      <c r="R116" s="16"/>
      <c r="S116" s="19">
        <f t="shared" si="48"/>
        <v>142.5</v>
      </c>
      <c r="T116" s="19">
        <f>K116*L116*J116+O116*P116*Q116</f>
        <v>4332</v>
      </c>
      <c r="U116" s="18">
        <f t="shared" ref="U116:U121" si="64">K116*L116+P116*Q116</f>
        <v>41</v>
      </c>
      <c r="V116" s="123">
        <f>T116+T117+T118+T119+T120+T121</f>
        <v>10378.125</v>
      </c>
      <c r="W116" s="144">
        <f>U116+U117+U118+U119+U120+U121</f>
        <v>143</v>
      </c>
      <c r="X116" s="38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</row>
    <row r="117" spans="1:51" x14ac:dyDescent="0.25">
      <c r="A117" s="50"/>
      <c r="B117" s="50"/>
      <c r="C117" s="50"/>
      <c r="D117" s="50"/>
      <c r="E117" s="50"/>
      <c r="F117" s="50"/>
      <c r="G117" s="30"/>
      <c r="H117" s="13" t="s">
        <v>47</v>
      </c>
      <c r="I117" s="14">
        <v>0.7</v>
      </c>
      <c r="J117" s="190">
        <f t="shared" si="63"/>
        <v>64.75</v>
      </c>
      <c r="K117" s="15">
        <v>3</v>
      </c>
      <c r="L117" s="15">
        <v>8</v>
      </c>
      <c r="M117" s="16"/>
      <c r="N117" s="17"/>
      <c r="O117" s="24">
        <f t="shared" ref="O117:O121" si="65">S117*N117</f>
        <v>0</v>
      </c>
      <c r="P117" s="15"/>
      <c r="Q117" s="15"/>
      <c r="R117" s="16"/>
      <c r="S117" s="19">
        <f t="shared" si="48"/>
        <v>92.5</v>
      </c>
      <c r="T117" s="19">
        <f t="shared" ref="T117:T121" si="66">K117*L117*J117+O117*P117*Q117</f>
        <v>1554</v>
      </c>
      <c r="U117" s="18">
        <f t="shared" si="64"/>
        <v>24</v>
      </c>
      <c r="V117" s="25"/>
      <c r="W117" s="26"/>
      <c r="X117" s="38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</row>
    <row r="118" spans="1:51" x14ac:dyDescent="0.25">
      <c r="A118" s="50"/>
      <c r="B118" s="50"/>
      <c r="C118" s="50"/>
      <c r="D118" s="50"/>
      <c r="E118" s="50"/>
      <c r="F118" s="50"/>
      <c r="G118" s="30"/>
      <c r="H118" s="13" t="s">
        <v>41</v>
      </c>
      <c r="I118" s="14">
        <v>0.5</v>
      </c>
      <c r="J118" s="190">
        <f t="shared" si="63"/>
        <v>68.75</v>
      </c>
      <c r="K118" s="15">
        <v>3</v>
      </c>
      <c r="L118" s="15">
        <v>5</v>
      </c>
      <c r="M118" s="16"/>
      <c r="N118" s="17">
        <v>0.65</v>
      </c>
      <c r="O118" s="24">
        <f t="shared" si="65"/>
        <v>89.375</v>
      </c>
      <c r="P118" s="15">
        <v>3</v>
      </c>
      <c r="Q118" s="15">
        <v>3</v>
      </c>
      <c r="R118" s="16"/>
      <c r="S118" s="19">
        <f t="shared" si="48"/>
        <v>137.5</v>
      </c>
      <c r="T118" s="19">
        <f t="shared" si="66"/>
        <v>1835.625</v>
      </c>
      <c r="U118" s="18">
        <f t="shared" si="64"/>
        <v>24</v>
      </c>
      <c r="V118" s="25"/>
      <c r="W118" s="26"/>
      <c r="X118" s="38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</row>
    <row r="119" spans="1:51" ht="15" customHeight="1" x14ac:dyDescent="0.25">
      <c r="A119" s="50"/>
      <c r="B119" s="50"/>
      <c r="C119" s="50"/>
      <c r="D119" s="50"/>
      <c r="E119" s="50"/>
      <c r="F119" s="50"/>
      <c r="G119" s="30"/>
      <c r="H119" s="13" t="s">
        <v>48</v>
      </c>
      <c r="I119" s="14">
        <v>0.7</v>
      </c>
      <c r="J119" s="190">
        <f t="shared" si="63"/>
        <v>85.75</v>
      </c>
      <c r="K119" s="15">
        <v>3</v>
      </c>
      <c r="L119" s="15">
        <v>5</v>
      </c>
      <c r="M119" s="16"/>
      <c r="N119" s="17"/>
      <c r="O119" s="24">
        <f t="shared" si="65"/>
        <v>0</v>
      </c>
      <c r="P119" s="15"/>
      <c r="Q119" s="15"/>
      <c r="R119" s="16"/>
      <c r="S119" s="19">
        <f t="shared" si="48"/>
        <v>122.5</v>
      </c>
      <c r="T119" s="19">
        <f t="shared" si="66"/>
        <v>1286.25</v>
      </c>
      <c r="U119" s="18">
        <f t="shared" si="64"/>
        <v>15</v>
      </c>
      <c r="V119" s="25"/>
      <c r="W119" s="26"/>
      <c r="X119" s="38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</row>
    <row r="120" spans="1:51" x14ac:dyDescent="0.25">
      <c r="A120" s="50"/>
      <c r="B120" s="50"/>
      <c r="C120" s="50"/>
      <c r="D120" s="50"/>
      <c r="E120" s="50"/>
      <c r="F120" s="50"/>
      <c r="G120" s="30"/>
      <c r="H120" s="13" t="s">
        <v>49</v>
      </c>
      <c r="I120" s="14">
        <v>0.7</v>
      </c>
      <c r="J120" s="190">
        <f t="shared" si="63"/>
        <v>43.75</v>
      </c>
      <c r="K120" s="15">
        <v>3</v>
      </c>
      <c r="L120" s="15">
        <v>5</v>
      </c>
      <c r="M120" s="16"/>
      <c r="N120" s="17"/>
      <c r="O120" s="24">
        <f t="shared" si="65"/>
        <v>0</v>
      </c>
      <c r="P120" s="15"/>
      <c r="Q120" s="15"/>
      <c r="R120" s="16"/>
      <c r="S120" s="19">
        <f t="shared" si="48"/>
        <v>62.5</v>
      </c>
      <c r="T120" s="19">
        <f t="shared" si="66"/>
        <v>656.25</v>
      </c>
      <c r="U120" s="18">
        <f t="shared" si="64"/>
        <v>15</v>
      </c>
      <c r="V120" s="25"/>
      <c r="W120" s="26"/>
      <c r="X120" s="38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</row>
    <row r="121" spans="1:51" x14ac:dyDescent="0.25">
      <c r="A121" s="50"/>
      <c r="B121" s="50"/>
      <c r="C121" s="50"/>
      <c r="D121" s="50"/>
      <c r="E121" s="50"/>
      <c r="F121" s="50"/>
      <c r="G121" s="158"/>
      <c r="H121" s="13" t="s">
        <v>50</v>
      </c>
      <c r="I121" s="14">
        <v>0.7</v>
      </c>
      <c r="J121" s="190">
        <f t="shared" si="63"/>
        <v>29.749999999999996</v>
      </c>
      <c r="K121" s="15">
        <v>3</v>
      </c>
      <c r="L121" s="15">
        <v>8</v>
      </c>
      <c r="M121" s="16"/>
      <c r="N121" s="17"/>
      <c r="O121" s="24">
        <f t="shared" si="65"/>
        <v>0</v>
      </c>
      <c r="P121" s="15"/>
      <c r="Q121" s="15"/>
      <c r="R121" s="16"/>
      <c r="S121" s="19">
        <f t="shared" si="48"/>
        <v>42.5</v>
      </c>
      <c r="T121" s="19">
        <f t="shared" si="66"/>
        <v>713.99999999999989</v>
      </c>
      <c r="U121" s="18">
        <f t="shared" si="64"/>
        <v>24</v>
      </c>
      <c r="V121" s="127"/>
      <c r="W121" s="146"/>
      <c r="X121" s="38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</row>
    <row r="122" spans="1:51" x14ac:dyDescent="0.25">
      <c r="A122" s="50"/>
      <c r="B122" s="50"/>
      <c r="C122" s="50"/>
      <c r="D122" s="50"/>
      <c r="E122" s="50"/>
      <c r="F122" s="50"/>
      <c r="G122" s="180"/>
      <c r="H122" s="176"/>
      <c r="I122" s="177">
        <v>0</v>
      </c>
      <c r="J122" s="191"/>
      <c r="K122" s="181"/>
      <c r="L122" s="182"/>
      <c r="M122" s="182"/>
      <c r="N122" s="183"/>
      <c r="O122" s="184"/>
      <c r="P122" s="182"/>
      <c r="Q122" s="182"/>
      <c r="R122" s="182"/>
      <c r="S122" s="139">
        <f t="shared" si="48"/>
        <v>2.5</v>
      </c>
      <c r="T122" s="139"/>
      <c r="U122" s="171"/>
      <c r="V122" s="162"/>
      <c r="W122" s="162"/>
      <c r="X122" s="38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</row>
    <row r="123" spans="1:51" x14ac:dyDescent="0.25">
      <c r="A123" s="50"/>
      <c r="B123" s="50"/>
      <c r="C123" s="50"/>
      <c r="D123" s="50"/>
      <c r="E123" s="50"/>
      <c r="F123" s="50"/>
      <c r="G123" s="121">
        <f>G116+2</f>
        <v>43511</v>
      </c>
      <c r="H123" s="13" t="s">
        <v>51</v>
      </c>
      <c r="I123" s="14">
        <v>0.7</v>
      </c>
      <c r="J123" s="190">
        <f t="shared" ref="J123:J128" si="67">S123*I123</f>
        <v>71.75</v>
      </c>
      <c r="K123" s="15">
        <v>3</v>
      </c>
      <c r="L123" s="15">
        <v>6</v>
      </c>
      <c r="M123" s="16"/>
      <c r="N123" s="17"/>
      <c r="O123" s="24">
        <f>S123*N123</f>
        <v>0</v>
      </c>
      <c r="P123" s="15"/>
      <c r="Q123" s="15"/>
      <c r="R123" s="16"/>
      <c r="S123" s="19">
        <f t="shared" si="48"/>
        <v>102.5</v>
      </c>
      <c r="T123" s="19">
        <f>K123*L123*J123+O123*P123*Q123</f>
        <v>1291.5</v>
      </c>
      <c r="U123" s="18">
        <f t="shared" ref="U123:U128" si="68">K123*L123+P123*Q123</f>
        <v>18</v>
      </c>
      <c r="V123" s="123">
        <f>T123+T124+T125+T126+T127+T128</f>
        <v>7348.625</v>
      </c>
      <c r="W123" s="144">
        <f>U123+U124+U125+U126+U127+U128</f>
        <v>133</v>
      </c>
      <c r="X123" s="38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</row>
    <row r="124" spans="1:51" x14ac:dyDescent="0.25">
      <c r="A124" s="50"/>
      <c r="B124" s="50"/>
      <c r="C124" s="50"/>
      <c r="D124" s="50"/>
      <c r="E124" s="50"/>
      <c r="F124" s="50"/>
      <c r="G124" s="30"/>
      <c r="H124" s="13" t="s">
        <v>52</v>
      </c>
      <c r="I124" s="14">
        <v>0.7</v>
      </c>
      <c r="J124" s="190">
        <f t="shared" si="67"/>
        <v>92.75</v>
      </c>
      <c r="K124" s="15">
        <v>2</v>
      </c>
      <c r="L124" s="15">
        <v>5</v>
      </c>
      <c r="M124" s="16"/>
      <c r="N124" s="17">
        <v>0.85</v>
      </c>
      <c r="O124" s="24">
        <f t="shared" ref="O124:O128" si="69">S124*N124</f>
        <v>112.625</v>
      </c>
      <c r="P124" s="15">
        <v>3</v>
      </c>
      <c r="Q124" s="15">
        <v>3</v>
      </c>
      <c r="R124" s="16"/>
      <c r="S124" s="19">
        <f t="shared" si="48"/>
        <v>132.5</v>
      </c>
      <c r="T124" s="19">
        <f t="shared" ref="T124:T128" si="70">K124*L124*J124+O124*P124*Q124</f>
        <v>1941.125</v>
      </c>
      <c r="U124" s="18">
        <f t="shared" si="68"/>
        <v>19</v>
      </c>
      <c r="V124" s="25"/>
      <c r="W124" s="26"/>
      <c r="X124" s="38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</row>
    <row r="125" spans="1:51" x14ac:dyDescent="0.25">
      <c r="A125" s="50"/>
      <c r="B125" s="50"/>
      <c r="C125" s="50"/>
      <c r="D125" s="50"/>
      <c r="E125" s="50"/>
      <c r="F125" s="50"/>
      <c r="G125" s="30"/>
      <c r="H125" s="13" t="s">
        <v>53</v>
      </c>
      <c r="I125" s="14">
        <v>0.7</v>
      </c>
      <c r="J125" s="190">
        <f t="shared" si="67"/>
        <v>33.25</v>
      </c>
      <c r="K125" s="15">
        <v>3</v>
      </c>
      <c r="L125" s="15">
        <v>8</v>
      </c>
      <c r="M125" s="16"/>
      <c r="N125" s="17"/>
      <c r="O125" s="24">
        <f t="shared" si="69"/>
        <v>0</v>
      </c>
      <c r="P125" s="15"/>
      <c r="Q125" s="15"/>
      <c r="R125" s="16"/>
      <c r="S125" s="19">
        <f t="shared" si="48"/>
        <v>47.5</v>
      </c>
      <c r="T125" s="19">
        <f t="shared" si="70"/>
        <v>798</v>
      </c>
      <c r="U125" s="18">
        <f t="shared" si="68"/>
        <v>24</v>
      </c>
      <c r="V125" s="25"/>
      <c r="W125" s="26"/>
      <c r="X125" s="38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</row>
    <row r="126" spans="1:51" x14ac:dyDescent="0.25">
      <c r="A126" s="50"/>
      <c r="B126" s="50"/>
      <c r="C126" s="50"/>
      <c r="D126" s="50"/>
      <c r="E126" s="50"/>
      <c r="F126" s="50"/>
      <c r="G126" s="30"/>
      <c r="H126" s="13" t="s">
        <v>54</v>
      </c>
      <c r="I126" s="14">
        <v>0.7</v>
      </c>
      <c r="J126" s="190">
        <f t="shared" si="67"/>
        <v>43.75</v>
      </c>
      <c r="K126" s="15">
        <v>3</v>
      </c>
      <c r="L126" s="15">
        <v>8</v>
      </c>
      <c r="M126" s="16"/>
      <c r="N126" s="17"/>
      <c r="O126" s="24">
        <f t="shared" si="69"/>
        <v>0</v>
      </c>
      <c r="P126" s="15"/>
      <c r="Q126" s="15"/>
      <c r="R126" s="16"/>
      <c r="S126" s="19">
        <f t="shared" si="48"/>
        <v>62.5</v>
      </c>
      <c r="T126" s="19">
        <f t="shared" si="70"/>
        <v>1050</v>
      </c>
      <c r="U126" s="18">
        <f t="shared" si="68"/>
        <v>24</v>
      </c>
      <c r="V126" s="25"/>
      <c r="W126" s="26"/>
      <c r="X126" s="38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</row>
    <row r="127" spans="1:51" x14ac:dyDescent="0.25">
      <c r="A127" s="50"/>
      <c r="B127" s="50"/>
      <c r="C127" s="50"/>
      <c r="D127" s="50"/>
      <c r="E127" s="50"/>
      <c r="F127" s="50"/>
      <c r="G127" s="30"/>
      <c r="H127" s="13" t="s">
        <v>55</v>
      </c>
      <c r="I127" s="14">
        <v>0.7</v>
      </c>
      <c r="J127" s="190">
        <f t="shared" si="67"/>
        <v>43.75</v>
      </c>
      <c r="K127" s="15">
        <v>3</v>
      </c>
      <c r="L127" s="15">
        <v>8</v>
      </c>
      <c r="M127" s="16"/>
      <c r="N127" s="17"/>
      <c r="O127" s="24">
        <f t="shared" si="69"/>
        <v>0</v>
      </c>
      <c r="P127" s="15"/>
      <c r="Q127" s="15"/>
      <c r="R127" s="16"/>
      <c r="S127" s="19">
        <f t="shared" si="48"/>
        <v>62.5</v>
      </c>
      <c r="T127" s="19">
        <f t="shared" si="70"/>
        <v>1050</v>
      </c>
      <c r="U127" s="18">
        <f t="shared" si="68"/>
        <v>24</v>
      </c>
      <c r="V127" s="25"/>
      <c r="W127" s="26"/>
      <c r="X127" s="38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</row>
    <row r="128" spans="1:51" x14ac:dyDescent="0.25">
      <c r="A128" s="50"/>
      <c r="B128" s="50"/>
      <c r="C128" s="50"/>
      <c r="D128" s="50"/>
      <c r="E128" s="50"/>
      <c r="F128" s="50"/>
      <c r="G128" s="158"/>
      <c r="H128" s="13" t="s">
        <v>56</v>
      </c>
      <c r="I128" s="14">
        <v>0.7</v>
      </c>
      <c r="J128" s="190">
        <f t="shared" si="67"/>
        <v>50.75</v>
      </c>
      <c r="K128" s="15">
        <v>3</v>
      </c>
      <c r="L128" s="15">
        <v>8</v>
      </c>
      <c r="M128" s="16"/>
      <c r="N128" s="17"/>
      <c r="O128" s="24">
        <f t="shared" si="69"/>
        <v>0</v>
      </c>
      <c r="P128" s="15"/>
      <c r="Q128" s="15"/>
      <c r="R128" s="16"/>
      <c r="S128" s="19">
        <f t="shared" si="48"/>
        <v>72.5</v>
      </c>
      <c r="T128" s="19">
        <f t="shared" si="70"/>
        <v>1218</v>
      </c>
      <c r="U128" s="18">
        <f t="shared" si="68"/>
        <v>24</v>
      </c>
      <c r="V128" s="127"/>
      <c r="W128" s="146"/>
      <c r="X128" s="38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</row>
    <row r="129" spans="1:51" x14ac:dyDescent="0.25">
      <c r="A129" s="50"/>
      <c r="B129" s="50"/>
      <c r="C129" s="50"/>
      <c r="D129" s="50"/>
      <c r="E129" s="50"/>
      <c r="F129" s="50"/>
      <c r="G129" s="112" t="s">
        <v>60</v>
      </c>
      <c r="H129" s="113"/>
      <c r="I129" s="113"/>
      <c r="J129" s="186"/>
      <c r="K129" s="113"/>
      <c r="L129" s="113"/>
      <c r="M129" s="113"/>
      <c r="N129" s="113"/>
      <c r="O129" s="113"/>
      <c r="P129" s="113"/>
      <c r="Q129" s="113"/>
      <c r="R129" s="113"/>
      <c r="S129" s="113">
        <f t="shared" si="48"/>
        <v>2.5</v>
      </c>
      <c r="T129" s="113"/>
      <c r="U129" s="113"/>
      <c r="V129" s="114">
        <f>V130+V137+V144</f>
        <v>25610.639999999999</v>
      </c>
      <c r="W129" s="114">
        <f>W130+W137+W144</f>
        <v>535</v>
      </c>
      <c r="X129" s="115">
        <f>Таблица1[[#This Row],[.11]]/Таблица1[[#This Row],[Column1]]</f>
        <v>47.870355140186916</v>
      </c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</row>
    <row r="130" spans="1:51" x14ac:dyDescent="0.25">
      <c r="A130" s="50"/>
      <c r="B130" s="50"/>
      <c r="C130" s="50"/>
      <c r="D130" s="50"/>
      <c r="E130" s="50"/>
      <c r="F130" s="50"/>
      <c r="G130" s="121">
        <f>G123+3</f>
        <v>43514</v>
      </c>
      <c r="H130" s="13" t="s">
        <v>40</v>
      </c>
      <c r="I130" s="14">
        <v>0.47000000000000003</v>
      </c>
      <c r="J130" s="192">
        <f t="shared" ref="J130:J135" si="71">S130*I130</f>
        <v>71.910000000000011</v>
      </c>
      <c r="K130" s="15">
        <v>3</v>
      </c>
      <c r="L130" s="15">
        <v>8</v>
      </c>
      <c r="M130" s="16"/>
      <c r="N130" s="17">
        <v>0.6</v>
      </c>
      <c r="O130" s="164">
        <f>S130*N130</f>
        <v>91.8</v>
      </c>
      <c r="P130" s="15">
        <v>2</v>
      </c>
      <c r="Q130" s="15">
        <v>3</v>
      </c>
      <c r="R130" s="16"/>
      <c r="S130" s="19">
        <f t="shared" si="48"/>
        <v>153</v>
      </c>
      <c r="T130" s="19">
        <f>K130*L130*J130+O130*P130*Q130</f>
        <v>2276.6400000000003</v>
      </c>
      <c r="U130" s="18">
        <f>K130*L130+P130*Q130</f>
        <v>30</v>
      </c>
      <c r="V130" s="123">
        <f>T130+T131+T132+T133+T134+T135</f>
        <v>9606.48</v>
      </c>
      <c r="W130" s="124">
        <f>U130+U131+U132+U133+U134+U135</f>
        <v>184</v>
      </c>
      <c r="X130" s="80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</row>
    <row r="131" spans="1:51" x14ac:dyDescent="0.25">
      <c r="A131" s="50"/>
      <c r="B131" s="50"/>
      <c r="C131" s="50"/>
      <c r="D131" s="50"/>
      <c r="E131" s="50"/>
      <c r="F131" s="50"/>
      <c r="G131" s="30"/>
      <c r="H131" s="13" t="s">
        <v>41</v>
      </c>
      <c r="I131" s="23">
        <v>0.47000000000000003</v>
      </c>
      <c r="J131" s="196">
        <f t="shared" si="71"/>
        <v>64.86</v>
      </c>
      <c r="K131" s="15">
        <v>3</v>
      </c>
      <c r="L131" s="15">
        <v>8</v>
      </c>
      <c r="M131" s="16"/>
      <c r="N131" s="17">
        <v>0.6</v>
      </c>
      <c r="O131" s="24">
        <f t="shared" ref="O131:O135" si="72">S131*N131</f>
        <v>82.8</v>
      </c>
      <c r="P131" s="15">
        <v>2</v>
      </c>
      <c r="Q131" s="15">
        <v>5</v>
      </c>
      <c r="R131" s="16"/>
      <c r="S131" s="19">
        <f t="shared" si="48"/>
        <v>138</v>
      </c>
      <c r="T131" s="19">
        <f t="shared" ref="T131:T135" si="73">K131*L131*J131+O131*P131*Q131</f>
        <v>2384.64</v>
      </c>
      <c r="U131" s="18">
        <f t="shared" ref="U131:U135" si="74">K131*L131+P131*Q131</f>
        <v>34</v>
      </c>
      <c r="V131" s="25"/>
      <c r="W131" s="49"/>
      <c r="X131" s="80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</row>
    <row r="132" spans="1:51" x14ac:dyDescent="0.25">
      <c r="A132" s="50"/>
      <c r="B132" s="50"/>
      <c r="C132" s="50"/>
      <c r="D132" s="50"/>
      <c r="E132" s="50"/>
      <c r="F132" s="50"/>
      <c r="G132" s="125"/>
      <c r="H132" s="13" t="s">
        <v>42</v>
      </c>
      <c r="I132" s="14">
        <v>0.52</v>
      </c>
      <c r="J132" s="197">
        <f t="shared" si="71"/>
        <v>58.760000000000005</v>
      </c>
      <c r="K132" s="15">
        <v>3</v>
      </c>
      <c r="L132" s="15">
        <v>10</v>
      </c>
      <c r="M132" s="16"/>
      <c r="N132" s="17"/>
      <c r="O132" s="106">
        <f t="shared" si="72"/>
        <v>0</v>
      </c>
      <c r="P132" s="15"/>
      <c r="Q132" s="15"/>
      <c r="R132" s="16"/>
      <c r="S132" s="19">
        <f t="shared" si="48"/>
        <v>113</v>
      </c>
      <c r="T132" s="19">
        <f t="shared" si="73"/>
        <v>1762.8000000000002</v>
      </c>
      <c r="U132" s="18">
        <f t="shared" si="74"/>
        <v>30</v>
      </c>
      <c r="V132" s="25"/>
      <c r="W132" s="49"/>
      <c r="X132" s="80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</row>
    <row r="133" spans="1:51" x14ac:dyDescent="0.25">
      <c r="A133" s="50"/>
      <c r="B133" s="50"/>
      <c r="C133" s="50"/>
      <c r="D133" s="50"/>
      <c r="E133" s="50"/>
      <c r="F133" s="50"/>
      <c r="G133" s="22"/>
      <c r="H133" s="13" t="s">
        <v>43</v>
      </c>
      <c r="I133" s="14">
        <v>0.52</v>
      </c>
      <c r="J133" s="196">
        <f t="shared" si="71"/>
        <v>43.160000000000004</v>
      </c>
      <c r="K133" s="15">
        <v>3</v>
      </c>
      <c r="L133" s="15">
        <v>10</v>
      </c>
      <c r="M133" s="16"/>
      <c r="N133" s="17"/>
      <c r="O133" s="165">
        <f t="shared" si="72"/>
        <v>0</v>
      </c>
      <c r="P133" s="15"/>
      <c r="Q133" s="15"/>
      <c r="R133" s="16"/>
      <c r="S133" s="19">
        <f t="shared" si="48"/>
        <v>83</v>
      </c>
      <c r="T133" s="19">
        <f t="shared" si="73"/>
        <v>1294.8000000000002</v>
      </c>
      <c r="U133" s="18">
        <f t="shared" si="74"/>
        <v>30</v>
      </c>
      <c r="V133" s="25"/>
      <c r="W133" s="49"/>
      <c r="X133" s="80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</row>
    <row r="134" spans="1:51" x14ac:dyDescent="0.25">
      <c r="A134" s="50"/>
      <c r="B134" s="50"/>
      <c r="C134" s="50"/>
      <c r="D134" s="50"/>
      <c r="E134" s="50"/>
      <c r="F134" s="50"/>
      <c r="G134" s="22"/>
      <c r="H134" s="13" t="s">
        <v>44</v>
      </c>
      <c r="I134" s="17">
        <v>0.52</v>
      </c>
      <c r="J134" s="197">
        <f t="shared" si="71"/>
        <v>27.560000000000002</v>
      </c>
      <c r="K134" s="15">
        <v>3</v>
      </c>
      <c r="L134" s="15">
        <v>10</v>
      </c>
      <c r="M134" s="16"/>
      <c r="N134" s="17"/>
      <c r="O134" s="166">
        <f t="shared" si="72"/>
        <v>0</v>
      </c>
      <c r="P134" s="15"/>
      <c r="Q134" s="15"/>
      <c r="R134" s="16"/>
      <c r="S134" s="19">
        <f t="shared" si="48"/>
        <v>53</v>
      </c>
      <c r="T134" s="19">
        <f t="shared" si="73"/>
        <v>826.80000000000007</v>
      </c>
      <c r="U134" s="18">
        <f t="shared" si="74"/>
        <v>30</v>
      </c>
      <c r="V134" s="25"/>
      <c r="W134" s="49"/>
      <c r="X134" s="80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</row>
    <row r="135" spans="1:51" x14ac:dyDescent="0.25">
      <c r="A135" s="50"/>
      <c r="B135" s="50"/>
      <c r="C135" s="50"/>
      <c r="D135" s="50"/>
      <c r="E135" s="50"/>
      <c r="F135" s="50"/>
      <c r="G135" s="126"/>
      <c r="H135" s="13" t="s">
        <v>45</v>
      </c>
      <c r="I135" s="17">
        <v>0.52</v>
      </c>
      <c r="J135" s="190">
        <f t="shared" si="71"/>
        <v>35.36</v>
      </c>
      <c r="K135" s="15">
        <v>3</v>
      </c>
      <c r="L135" s="15">
        <v>10</v>
      </c>
      <c r="M135" s="16"/>
      <c r="N135" s="17"/>
      <c r="O135" s="24">
        <f t="shared" si="72"/>
        <v>0</v>
      </c>
      <c r="P135" s="15"/>
      <c r="Q135" s="15"/>
      <c r="R135" s="16"/>
      <c r="S135" s="19">
        <f t="shared" si="48"/>
        <v>68</v>
      </c>
      <c r="T135" s="19">
        <f t="shared" si="73"/>
        <v>1060.8</v>
      </c>
      <c r="U135" s="18">
        <f t="shared" si="74"/>
        <v>30</v>
      </c>
      <c r="V135" s="127"/>
      <c r="W135" s="128"/>
      <c r="X135" s="80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</row>
    <row r="136" spans="1:51" x14ac:dyDescent="0.25">
      <c r="A136" s="50"/>
      <c r="B136" s="50"/>
      <c r="C136" s="50"/>
      <c r="D136" s="50"/>
      <c r="E136" s="50"/>
      <c r="F136" s="50"/>
      <c r="G136" s="153"/>
      <c r="H136" s="167"/>
      <c r="I136" s="179">
        <v>0.02</v>
      </c>
      <c r="J136" s="191"/>
      <c r="K136" s="137"/>
      <c r="L136" s="136"/>
      <c r="M136" s="136"/>
      <c r="N136" s="134"/>
      <c r="O136" s="135"/>
      <c r="P136" s="136"/>
      <c r="Q136" s="136"/>
      <c r="R136" s="136"/>
      <c r="S136" s="169">
        <f t="shared" si="48"/>
        <v>3</v>
      </c>
      <c r="T136" s="170"/>
      <c r="U136" s="171"/>
      <c r="V136" s="172"/>
      <c r="W136" s="173"/>
      <c r="X136" s="80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</row>
    <row r="137" spans="1:51" x14ac:dyDescent="0.25">
      <c r="A137" s="50"/>
      <c r="B137" s="50"/>
      <c r="C137" s="50"/>
      <c r="D137" s="50"/>
      <c r="E137" s="50"/>
      <c r="F137" s="50"/>
      <c r="G137" s="143">
        <f>G130+2</f>
        <v>43516</v>
      </c>
      <c r="H137" s="13" t="s">
        <v>46</v>
      </c>
      <c r="I137" s="14">
        <v>0.47000000000000003</v>
      </c>
      <c r="J137" s="192">
        <f t="shared" ref="J137" si="75">S137*I137</f>
        <v>67.210000000000008</v>
      </c>
      <c r="K137" s="15">
        <v>3</v>
      </c>
      <c r="L137" s="15">
        <v>8</v>
      </c>
      <c r="M137" s="16"/>
      <c r="N137" s="17"/>
      <c r="O137" s="24"/>
      <c r="P137" s="15"/>
      <c r="Q137" s="15"/>
      <c r="R137" s="16"/>
      <c r="S137" s="19">
        <f t="shared" si="48"/>
        <v>143</v>
      </c>
      <c r="T137" s="19">
        <f>K137*L137*J137+O137*P137*Q137</f>
        <v>1613.0400000000002</v>
      </c>
      <c r="U137" s="18">
        <f>K137*L137+P137*Q137</f>
        <v>24</v>
      </c>
      <c r="V137" s="123">
        <f>T137+T138+T139+T140+T141+T142</f>
        <v>9242.64</v>
      </c>
      <c r="W137" s="144">
        <f>U137+U138+U139+U140+U141+U142</f>
        <v>179</v>
      </c>
      <c r="X137" s="80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</row>
    <row r="138" spans="1:51" x14ac:dyDescent="0.25">
      <c r="A138" s="50"/>
      <c r="B138" s="50"/>
      <c r="C138" s="50"/>
      <c r="D138" s="50"/>
      <c r="E138" s="50"/>
      <c r="F138" s="50"/>
      <c r="G138" s="22"/>
      <c r="H138" s="13" t="s">
        <v>47</v>
      </c>
      <c r="I138" s="174">
        <v>0.52</v>
      </c>
      <c r="J138" s="192">
        <f>S138*I138</f>
        <v>48.36</v>
      </c>
      <c r="K138" s="15">
        <v>3</v>
      </c>
      <c r="L138" s="15">
        <v>5</v>
      </c>
      <c r="M138" s="16"/>
      <c r="N138" s="17">
        <v>0.6</v>
      </c>
      <c r="O138" s="24">
        <f t="shared" ref="O138:O142" si="76">S138*N138</f>
        <v>55.8</v>
      </c>
      <c r="P138" s="15">
        <v>2</v>
      </c>
      <c r="Q138" s="15">
        <v>5</v>
      </c>
      <c r="R138" s="16"/>
      <c r="S138" s="19">
        <f t="shared" si="48"/>
        <v>93</v>
      </c>
      <c r="T138" s="19">
        <f>K138*L138*J138+O138*P138*Q138</f>
        <v>1283.4000000000001</v>
      </c>
      <c r="U138" s="18">
        <f t="shared" ref="U138:U142" si="77">K138*L138+P138*Q138</f>
        <v>25</v>
      </c>
      <c r="V138" s="25"/>
      <c r="W138" s="26"/>
      <c r="X138" s="80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</row>
    <row r="139" spans="1:51" x14ac:dyDescent="0.25">
      <c r="A139" s="50"/>
      <c r="B139" s="50"/>
      <c r="C139" s="50"/>
      <c r="D139" s="50"/>
      <c r="E139" s="50"/>
      <c r="F139" s="50"/>
      <c r="G139" s="22"/>
      <c r="H139" s="13" t="s">
        <v>41</v>
      </c>
      <c r="I139" s="14">
        <v>0.47000000000000003</v>
      </c>
      <c r="J139" s="190">
        <f t="shared" ref="J139:J142" si="78">S139*I139</f>
        <v>64.86</v>
      </c>
      <c r="K139" s="15">
        <v>3</v>
      </c>
      <c r="L139" s="15">
        <v>10</v>
      </c>
      <c r="M139" s="16"/>
      <c r="N139" s="17">
        <v>0.6</v>
      </c>
      <c r="O139" s="24">
        <f t="shared" si="76"/>
        <v>82.8</v>
      </c>
      <c r="P139" s="15">
        <v>2</v>
      </c>
      <c r="Q139" s="15">
        <v>5</v>
      </c>
      <c r="R139" s="16"/>
      <c r="S139" s="19">
        <f t="shared" si="48"/>
        <v>138</v>
      </c>
      <c r="T139" s="19">
        <f t="shared" ref="T139:T142" si="79">K139*L139*J139+O139*P139*Q139</f>
        <v>2773.8</v>
      </c>
      <c r="U139" s="18">
        <f t="shared" si="77"/>
        <v>40</v>
      </c>
      <c r="V139" s="25"/>
      <c r="W139" s="26"/>
      <c r="X139" s="80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</row>
    <row r="140" spans="1:51" x14ac:dyDescent="0.25">
      <c r="A140" s="50"/>
      <c r="B140" s="50"/>
      <c r="C140" s="50"/>
      <c r="D140" s="50"/>
      <c r="E140" s="50"/>
      <c r="F140" s="50"/>
      <c r="G140" s="22"/>
      <c r="H140" s="13" t="s">
        <v>48</v>
      </c>
      <c r="I140" s="14">
        <v>0.52</v>
      </c>
      <c r="J140" s="190">
        <f t="shared" si="78"/>
        <v>63.96</v>
      </c>
      <c r="K140" s="15">
        <v>3</v>
      </c>
      <c r="L140" s="15">
        <v>10</v>
      </c>
      <c r="M140" s="16"/>
      <c r="N140" s="17"/>
      <c r="O140" s="24">
        <f t="shared" si="76"/>
        <v>0</v>
      </c>
      <c r="P140" s="15"/>
      <c r="Q140" s="15"/>
      <c r="R140" s="16"/>
      <c r="S140" s="19">
        <f t="shared" si="48"/>
        <v>123</v>
      </c>
      <c r="T140" s="19">
        <f t="shared" si="79"/>
        <v>1918.8</v>
      </c>
      <c r="U140" s="18">
        <f t="shared" si="77"/>
        <v>30</v>
      </c>
      <c r="V140" s="25"/>
      <c r="W140" s="26"/>
      <c r="X140" s="80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</row>
    <row r="141" spans="1:51" x14ac:dyDescent="0.25">
      <c r="A141" s="50"/>
      <c r="B141" s="50"/>
      <c r="C141" s="50"/>
      <c r="D141" s="50"/>
      <c r="E141" s="50"/>
      <c r="F141" s="50"/>
      <c r="G141" s="22"/>
      <c r="H141" s="13" t="s">
        <v>49</v>
      </c>
      <c r="I141" s="17">
        <v>0.52</v>
      </c>
      <c r="J141" s="190">
        <f t="shared" si="78"/>
        <v>32.76</v>
      </c>
      <c r="K141" s="15">
        <v>3</v>
      </c>
      <c r="L141" s="15">
        <v>10</v>
      </c>
      <c r="M141" s="16"/>
      <c r="N141" s="17"/>
      <c r="O141" s="24">
        <f t="shared" si="76"/>
        <v>0</v>
      </c>
      <c r="P141" s="15"/>
      <c r="Q141" s="15"/>
      <c r="R141" s="16"/>
      <c r="S141" s="19">
        <f t="shared" si="48"/>
        <v>63</v>
      </c>
      <c r="T141" s="19">
        <f t="shared" si="79"/>
        <v>982.8</v>
      </c>
      <c r="U141" s="18">
        <f t="shared" si="77"/>
        <v>30</v>
      </c>
      <c r="V141" s="25"/>
      <c r="W141" s="26"/>
      <c r="X141" s="80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</row>
    <row r="142" spans="1:51" x14ac:dyDescent="0.25">
      <c r="A142" s="50"/>
      <c r="B142" s="50"/>
      <c r="C142" s="50"/>
      <c r="D142" s="50"/>
      <c r="E142" s="50"/>
      <c r="F142" s="50"/>
      <c r="G142" s="126"/>
      <c r="H142" s="13" t="s">
        <v>50</v>
      </c>
      <c r="I142" s="17">
        <v>0.52</v>
      </c>
      <c r="J142" s="190">
        <f t="shared" si="78"/>
        <v>22.36</v>
      </c>
      <c r="K142" s="15">
        <v>3</v>
      </c>
      <c r="L142" s="15">
        <v>10</v>
      </c>
      <c r="M142" s="16"/>
      <c r="N142" s="17"/>
      <c r="O142" s="24">
        <f t="shared" si="76"/>
        <v>0</v>
      </c>
      <c r="P142" s="15"/>
      <c r="Q142" s="15"/>
      <c r="R142" s="16"/>
      <c r="S142" s="19">
        <f t="shared" si="48"/>
        <v>43</v>
      </c>
      <c r="T142" s="19">
        <f t="shared" si="79"/>
        <v>670.8</v>
      </c>
      <c r="U142" s="18">
        <f t="shared" si="77"/>
        <v>30</v>
      </c>
      <c r="V142" s="127"/>
      <c r="W142" s="146"/>
      <c r="X142" s="80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</row>
    <row r="143" spans="1:51" x14ac:dyDescent="0.25">
      <c r="A143" s="50"/>
      <c r="B143" s="50"/>
      <c r="C143" s="50"/>
      <c r="D143" s="50"/>
      <c r="E143" s="50"/>
      <c r="F143" s="50"/>
      <c r="G143" s="175"/>
      <c r="H143" s="176"/>
      <c r="I143" s="177">
        <v>0.02</v>
      </c>
      <c r="J143" s="191"/>
      <c r="K143" s="181"/>
      <c r="L143" s="182"/>
      <c r="M143" s="182"/>
      <c r="N143" s="183"/>
      <c r="O143" s="184"/>
      <c r="P143" s="182"/>
      <c r="Q143" s="182"/>
      <c r="R143" s="182"/>
      <c r="S143" s="169">
        <f t="shared" si="48"/>
        <v>3</v>
      </c>
      <c r="T143" s="139"/>
      <c r="U143" s="140"/>
      <c r="V143" s="141"/>
      <c r="W143" s="142"/>
      <c r="X143" s="80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</row>
    <row r="144" spans="1:51" x14ac:dyDescent="0.25">
      <c r="A144" s="50"/>
      <c r="B144" s="50"/>
      <c r="C144" s="50"/>
      <c r="D144" s="50"/>
      <c r="E144" s="50"/>
      <c r="F144" s="50"/>
      <c r="G144" s="121">
        <f>G137+2</f>
        <v>43518</v>
      </c>
      <c r="H144" s="13" t="s">
        <v>51</v>
      </c>
      <c r="I144" s="14">
        <v>0.52</v>
      </c>
      <c r="J144" s="190">
        <f t="shared" ref="J144:J149" si="80">S144*I144</f>
        <v>53.56</v>
      </c>
      <c r="K144" s="15">
        <v>3</v>
      </c>
      <c r="L144" s="15">
        <v>8</v>
      </c>
      <c r="M144" s="16"/>
      <c r="N144" s="17"/>
      <c r="O144" s="24">
        <f t="shared" ref="O144:O149" si="81">S144*N144</f>
        <v>0</v>
      </c>
      <c r="P144" s="15"/>
      <c r="Q144" s="15"/>
      <c r="R144" s="16"/>
      <c r="S144" s="19">
        <f t="shared" si="48"/>
        <v>103</v>
      </c>
      <c r="T144" s="19">
        <f>K144*L144*J144+O144*P144*Q144</f>
        <v>1285.44</v>
      </c>
      <c r="U144" s="18">
        <f>K144*L144+P144*Q144</f>
        <v>24</v>
      </c>
      <c r="V144" s="123">
        <f>T144+T145+T146+T147+T148+T149</f>
        <v>6761.52</v>
      </c>
      <c r="W144" s="144">
        <f>U144+U145+U146+U147+U148+U149</f>
        <v>172</v>
      </c>
      <c r="X144" s="80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  <c r="AY144" s="29"/>
    </row>
    <row r="145" spans="1:51" x14ac:dyDescent="0.25">
      <c r="A145" s="50"/>
      <c r="B145" s="50"/>
      <c r="C145" s="50"/>
      <c r="D145" s="50"/>
      <c r="E145" s="50"/>
      <c r="F145" s="50"/>
      <c r="G145" s="22"/>
      <c r="H145" s="13" t="s">
        <v>52</v>
      </c>
      <c r="I145" s="23">
        <v>0.52</v>
      </c>
      <c r="J145" s="190">
        <f t="shared" si="80"/>
        <v>69.16</v>
      </c>
      <c r="K145" s="15">
        <v>3</v>
      </c>
      <c r="L145" s="15">
        <v>6</v>
      </c>
      <c r="M145" s="16"/>
      <c r="N145" s="17"/>
      <c r="O145" s="24">
        <f t="shared" si="81"/>
        <v>0</v>
      </c>
      <c r="P145" s="15"/>
      <c r="Q145" s="15"/>
      <c r="R145" s="16"/>
      <c r="S145" s="19">
        <f t="shared" si="48"/>
        <v>133</v>
      </c>
      <c r="T145" s="19">
        <f t="shared" ref="T145:T149" si="82">K145*L145*J145+O145*P145*Q145</f>
        <v>1244.8799999999999</v>
      </c>
      <c r="U145" s="18">
        <f t="shared" ref="U145:U149" si="83">K145*L145+P145*Q145</f>
        <v>18</v>
      </c>
      <c r="V145" s="25"/>
      <c r="W145" s="26"/>
      <c r="X145" s="80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  <c r="AY145" s="29"/>
    </row>
    <row r="146" spans="1:51" x14ac:dyDescent="0.25">
      <c r="A146" s="50"/>
      <c r="B146" s="50"/>
      <c r="C146" s="50"/>
      <c r="D146" s="50"/>
      <c r="E146" s="50"/>
      <c r="F146" s="50"/>
      <c r="G146" s="22"/>
      <c r="H146" s="13" t="s">
        <v>53</v>
      </c>
      <c r="I146" s="14">
        <v>0.52</v>
      </c>
      <c r="J146" s="190">
        <f t="shared" si="80"/>
        <v>24.96</v>
      </c>
      <c r="K146" s="15">
        <v>3</v>
      </c>
      <c r="L146" s="15">
        <v>10</v>
      </c>
      <c r="M146" s="16"/>
      <c r="N146" s="17"/>
      <c r="O146" s="24">
        <f t="shared" si="81"/>
        <v>0</v>
      </c>
      <c r="P146" s="15"/>
      <c r="Q146" s="15"/>
      <c r="R146" s="16"/>
      <c r="S146" s="19">
        <f t="shared" si="48"/>
        <v>48</v>
      </c>
      <c r="T146" s="19">
        <f t="shared" si="82"/>
        <v>748.80000000000007</v>
      </c>
      <c r="U146" s="18">
        <f t="shared" si="83"/>
        <v>30</v>
      </c>
      <c r="V146" s="25"/>
      <c r="W146" s="26"/>
      <c r="X146" s="80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  <c r="AY146" s="29"/>
    </row>
    <row r="147" spans="1:51" x14ac:dyDescent="0.25">
      <c r="A147" s="50"/>
      <c r="B147" s="50"/>
      <c r="C147" s="50"/>
      <c r="D147" s="50"/>
      <c r="E147" s="50"/>
      <c r="F147" s="50"/>
      <c r="G147" s="22"/>
      <c r="H147" s="13" t="s">
        <v>54</v>
      </c>
      <c r="I147" s="14">
        <v>0.52</v>
      </c>
      <c r="J147" s="190">
        <f t="shared" si="80"/>
        <v>32.76</v>
      </c>
      <c r="K147" s="15">
        <v>3</v>
      </c>
      <c r="L147" s="15">
        <v>10</v>
      </c>
      <c r="M147" s="16"/>
      <c r="N147" s="17"/>
      <c r="O147" s="24">
        <f t="shared" si="81"/>
        <v>0</v>
      </c>
      <c r="P147" s="15"/>
      <c r="Q147" s="15"/>
      <c r="R147" s="16"/>
      <c r="S147" s="19">
        <f t="shared" si="48"/>
        <v>63</v>
      </c>
      <c r="T147" s="19">
        <f t="shared" si="82"/>
        <v>982.8</v>
      </c>
      <c r="U147" s="18">
        <f t="shared" si="83"/>
        <v>30</v>
      </c>
      <c r="V147" s="25"/>
      <c r="W147" s="26"/>
      <c r="X147" s="80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J147" s="36"/>
      <c r="AK147" s="36"/>
      <c r="AL147" s="36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  <c r="AY147" s="29"/>
    </row>
    <row r="148" spans="1:51" x14ac:dyDescent="0.25">
      <c r="A148" s="50"/>
      <c r="B148" s="50"/>
      <c r="C148" s="50"/>
      <c r="D148" s="50"/>
      <c r="E148" s="50"/>
      <c r="F148" s="50"/>
      <c r="G148" s="22"/>
      <c r="H148" s="13" t="s">
        <v>55</v>
      </c>
      <c r="I148" s="17">
        <v>0.52</v>
      </c>
      <c r="J148" s="190">
        <f t="shared" si="80"/>
        <v>32.76</v>
      </c>
      <c r="K148" s="15">
        <v>3</v>
      </c>
      <c r="L148" s="15">
        <v>10</v>
      </c>
      <c r="M148" s="16"/>
      <c r="N148" s="17">
        <v>0.6</v>
      </c>
      <c r="O148" s="24">
        <f t="shared" si="81"/>
        <v>37.799999999999997</v>
      </c>
      <c r="P148" s="15">
        <v>2</v>
      </c>
      <c r="Q148" s="15">
        <v>5</v>
      </c>
      <c r="R148" s="16"/>
      <c r="S148" s="19">
        <f t="shared" si="48"/>
        <v>63</v>
      </c>
      <c r="T148" s="19">
        <f t="shared" si="82"/>
        <v>1360.8</v>
      </c>
      <c r="U148" s="18">
        <f t="shared" si="83"/>
        <v>40</v>
      </c>
      <c r="V148" s="25"/>
      <c r="W148" s="26"/>
      <c r="X148" s="80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  <c r="AY148" s="29"/>
    </row>
    <row r="149" spans="1:51" x14ac:dyDescent="0.25">
      <c r="A149" s="50"/>
      <c r="B149" s="50"/>
      <c r="C149" s="50"/>
      <c r="D149" s="50"/>
      <c r="E149" s="50"/>
      <c r="F149" s="50"/>
      <c r="G149" s="126"/>
      <c r="H149" s="13" t="s">
        <v>56</v>
      </c>
      <c r="I149" s="17">
        <v>0.52</v>
      </c>
      <c r="J149" s="190">
        <f t="shared" si="80"/>
        <v>37.96</v>
      </c>
      <c r="K149" s="15">
        <v>3</v>
      </c>
      <c r="L149" s="15">
        <v>10</v>
      </c>
      <c r="M149" s="16"/>
      <c r="N149" s="17"/>
      <c r="O149" s="24">
        <f t="shared" si="81"/>
        <v>0</v>
      </c>
      <c r="P149" s="15"/>
      <c r="Q149" s="15"/>
      <c r="R149" s="16"/>
      <c r="S149" s="19">
        <f t="shared" si="48"/>
        <v>73</v>
      </c>
      <c r="T149" s="19">
        <f t="shared" si="82"/>
        <v>1138.8</v>
      </c>
      <c r="U149" s="18">
        <f t="shared" si="83"/>
        <v>30</v>
      </c>
      <c r="V149" s="127"/>
      <c r="W149" s="146"/>
      <c r="X149" s="80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  <c r="AY149" s="29"/>
    </row>
    <row r="150" spans="1:51" x14ac:dyDescent="0.25">
      <c r="A150" s="50"/>
      <c r="B150" s="50"/>
      <c r="C150" s="50"/>
      <c r="D150" s="50"/>
      <c r="E150" s="50"/>
      <c r="F150" s="50"/>
      <c r="G150" s="150" t="s">
        <v>61</v>
      </c>
      <c r="H150" s="151"/>
      <c r="I150" s="151"/>
      <c r="J150" s="194"/>
      <c r="K150" s="151"/>
      <c r="L150" s="151"/>
      <c r="M150" s="151"/>
      <c r="N150" s="151"/>
      <c r="O150" s="151"/>
      <c r="P150" s="151"/>
      <c r="Q150" s="151"/>
      <c r="R150" s="151"/>
      <c r="S150" s="152">
        <f t="shared" si="48"/>
        <v>3</v>
      </c>
      <c r="T150" s="151"/>
      <c r="U150" s="151"/>
      <c r="V150" s="114">
        <f>V151+V158+V165</f>
        <v>28363.45</v>
      </c>
      <c r="W150" s="114">
        <f>W151+W158+W165</f>
        <v>459</v>
      </c>
      <c r="X150" s="115">
        <f>V150/W150</f>
        <v>61.794008714596949</v>
      </c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  <c r="AY150" s="29"/>
    </row>
    <row r="151" spans="1:51" x14ac:dyDescent="0.25">
      <c r="A151" s="50"/>
      <c r="B151" s="50"/>
      <c r="C151" s="50"/>
      <c r="D151" s="50"/>
      <c r="E151" s="50"/>
      <c r="F151" s="50"/>
      <c r="G151" s="121">
        <f>G144+3</f>
        <v>43521</v>
      </c>
      <c r="H151" s="13" t="s">
        <v>40</v>
      </c>
      <c r="I151" s="14">
        <v>0.62000000000000011</v>
      </c>
      <c r="J151" s="190">
        <f t="shared" ref="J151:J156" si="84">S151*I151</f>
        <v>95.170000000000016</v>
      </c>
      <c r="K151" s="15">
        <v>3</v>
      </c>
      <c r="L151" s="15">
        <v>5</v>
      </c>
      <c r="M151" s="16"/>
      <c r="N151" s="17">
        <v>0.7</v>
      </c>
      <c r="O151" s="24">
        <f>S151*N151</f>
        <v>107.44999999999999</v>
      </c>
      <c r="P151" s="15">
        <v>3</v>
      </c>
      <c r="Q151" s="15">
        <v>5</v>
      </c>
      <c r="R151" s="16"/>
      <c r="S151" s="19">
        <f t="shared" si="48"/>
        <v>153.5</v>
      </c>
      <c r="T151" s="19">
        <f>K151*L151*J151+O151*P151*Q151</f>
        <v>3039.3</v>
      </c>
      <c r="U151" s="18">
        <f>K151*L151+P151*Q151</f>
        <v>30</v>
      </c>
      <c r="V151" s="123">
        <f>T151+T152+T153+T154+T155+T156</f>
        <v>10974.150000000001</v>
      </c>
      <c r="W151" s="144">
        <f>U151+U152+U153+U154+U155+U156</f>
        <v>165</v>
      </c>
      <c r="X151" s="37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  <c r="AY151" s="29"/>
    </row>
    <row r="152" spans="1:51" x14ac:dyDescent="0.25">
      <c r="A152" s="50"/>
      <c r="B152" s="50"/>
      <c r="C152" s="50"/>
      <c r="D152" s="50"/>
      <c r="E152" s="50"/>
      <c r="F152" s="50"/>
      <c r="G152" s="22"/>
      <c r="H152" s="13" t="s">
        <v>41</v>
      </c>
      <c r="I152" s="14">
        <v>0.62000000000000011</v>
      </c>
      <c r="J152" s="190">
        <f t="shared" si="84"/>
        <v>85.870000000000019</v>
      </c>
      <c r="K152" s="15">
        <v>3</v>
      </c>
      <c r="L152" s="15">
        <v>5</v>
      </c>
      <c r="M152" s="16"/>
      <c r="N152" s="17">
        <v>0.7</v>
      </c>
      <c r="O152" s="24">
        <f t="shared" ref="O152:O156" si="85">S152*N152</f>
        <v>96.949999999999989</v>
      </c>
      <c r="P152" s="15">
        <v>3</v>
      </c>
      <c r="Q152" s="15">
        <v>5</v>
      </c>
      <c r="R152" s="16"/>
      <c r="S152" s="19">
        <f t="shared" si="48"/>
        <v>138.5</v>
      </c>
      <c r="T152" s="19">
        <f t="shared" ref="T152:T156" si="86">K152*L152*J152+O152*P152*Q152</f>
        <v>2742.3</v>
      </c>
      <c r="U152" s="18">
        <f t="shared" ref="U152:U156" si="87">K152*L152+P152*Q152</f>
        <v>30</v>
      </c>
      <c r="V152" s="25"/>
      <c r="W152" s="26"/>
      <c r="X152" s="37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29"/>
      <c r="AY152" s="29"/>
    </row>
    <row r="153" spans="1:51" x14ac:dyDescent="0.25">
      <c r="A153" s="50"/>
      <c r="B153" s="50"/>
      <c r="C153" s="50"/>
      <c r="D153" s="50"/>
      <c r="E153" s="50"/>
      <c r="F153" s="50"/>
      <c r="G153" s="22"/>
      <c r="H153" s="13" t="s">
        <v>42</v>
      </c>
      <c r="I153" s="14">
        <v>0.62000000000000011</v>
      </c>
      <c r="J153" s="190">
        <f t="shared" si="84"/>
        <v>70.370000000000019</v>
      </c>
      <c r="K153" s="15">
        <v>5</v>
      </c>
      <c r="L153" s="15">
        <v>5</v>
      </c>
      <c r="M153" s="16"/>
      <c r="N153" s="17"/>
      <c r="O153" s="24">
        <f t="shared" si="85"/>
        <v>0</v>
      </c>
      <c r="P153" s="15"/>
      <c r="Q153" s="15"/>
      <c r="R153" s="16"/>
      <c r="S153" s="19">
        <f t="shared" ref="S153:S216" si="88">S132+0.5</f>
        <v>113.5</v>
      </c>
      <c r="T153" s="19">
        <f t="shared" si="86"/>
        <v>1759.2500000000005</v>
      </c>
      <c r="U153" s="18">
        <f t="shared" si="87"/>
        <v>25</v>
      </c>
      <c r="V153" s="25"/>
      <c r="W153" s="26"/>
      <c r="X153" s="37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  <c r="AY153" s="29"/>
    </row>
    <row r="154" spans="1:51" x14ac:dyDescent="0.25">
      <c r="A154" s="50"/>
      <c r="B154" s="50"/>
      <c r="C154" s="50"/>
      <c r="D154" s="50"/>
      <c r="E154" s="50"/>
      <c r="F154" s="50"/>
      <c r="G154" s="22"/>
      <c r="H154" s="13" t="s">
        <v>43</v>
      </c>
      <c r="I154" s="14">
        <v>0.62000000000000011</v>
      </c>
      <c r="J154" s="190">
        <f t="shared" si="84"/>
        <v>51.77000000000001</v>
      </c>
      <c r="K154" s="15">
        <v>5</v>
      </c>
      <c r="L154" s="15">
        <v>5</v>
      </c>
      <c r="M154" s="16"/>
      <c r="N154" s="17"/>
      <c r="O154" s="24">
        <f t="shared" si="85"/>
        <v>0</v>
      </c>
      <c r="P154" s="15"/>
      <c r="Q154" s="15"/>
      <c r="R154" s="16"/>
      <c r="S154" s="19">
        <f t="shared" si="88"/>
        <v>83.5</v>
      </c>
      <c r="T154" s="19">
        <f t="shared" si="86"/>
        <v>1294.2500000000002</v>
      </c>
      <c r="U154" s="18">
        <f t="shared" si="87"/>
        <v>25</v>
      </c>
      <c r="V154" s="25"/>
      <c r="W154" s="26"/>
      <c r="X154" s="37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  <c r="AX154" s="29"/>
      <c r="AY154" s="29"/>
    </row>
    <row r="155" spans="1:51" x14ac:dyDescent="0.25">
      <c r="A155" s="50"/>
      <c r="B155" s="50"/>
      <c r="C155" s="50"/>
      <c r="D155" s="50"/>
      <c r="E155" s="50"/>
      <c r="F155" s="50"/>
      <c r="G155" s="22"/>
      <c r="H155" s="13" t="s">
        <v>44</v>
      </c>
      <c r="I155" s="14">
        <v>0.62000000000000011</v>
      </c>
      <c r="J155" s="190">
        <f t="shared" si="84"/>
        <v>33.170000000000009</v>
      </c>
      <c r="K155" s="15">
        <v>3</v>
      </c>
      <c r="L155" s="15">
        <v>10</v>
      </c>
      <c r="M155" s="16"/>
      <c r="N155" s="17"/>
      <c r="O155" s="24">
        <f t="shared" si="85"/>
        <v>0</v>
      </c>
      <c r="P155" s="15"/>
      <c r="Q155" s="15"/>
      <c r="R155" s="16"/>
      <c r="S155" s="19">
        <f t="shared" si="88"/>
        <v>53.5</v>
      </c>
      <c r="T155" s="19">
        <f t="shared" si="86"/>
        <v>995.10000000000025</v>
      </c>
      <c r="U155" s="18">
        <f t="shared" si="87"/>
        <v>30</v>
      </c>
      <c r="V155" s="25"/>
      <c r="W155" s="26"/>
      <c r="X155" s="37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9"/>
    </row>
    <row r="156" spans="1:51" x14ac:dyDescent="0.25">
      <c r="A156" s="50"/>
      <c r="B156" s="50"/>
      <c r="C156" s="50"/>
      <c r="D156" s="50"/>
      <c r="E156" s="50"/>
      <c r="F156" s="50"/>
      <c r="G156" s="126"/>
      <c r="H156" s="13" t="s">
        <v>45</v>
      </c>
      <c r="I156" s="14">
        <v>0.62000000000000011</v>
      </c>
      <c r="J156" s="190">
        <f t="shared" si="84"/>
        <v>42.470000000000006</v>
      </c>
      <c r="K156" s="15">
        <v>1</v>
      </c>
      <c r="L156" s="15">
        <v>10</v>
      </c>
      <c r="M156" s="16"/>
      <c r="N156" s="17">
        <v>0.7</v>
      </c>
      <c r="O156" s="24">
        <f t="shared" si="85"/>
        <v>47.949999999999996</v>
      </c>
      <c r="P156" s="15">
        <v>3</v>
      </c>
      <c r="Q156" s="15">
        <v>5</v>
      </c>
      <c r="R156" s="16"/>
      <c r="S156" s="19">
        <f t="shared" si="88"/>
        <v>68.5</v>
      </c>
      <c r="T156" s="19">
        <f t="shared" si="86"/>
        <v>1143.95</v>
      </c>
      <c r="U156" s="18">
        <f t="shared" si="87"/>
        <v>25</v>
      </c>
      <c r="V156" s="127"/>
      <c r="W156" s="146"/>
      <c r="X156" s="37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  <c r="AY156" s="29"/>
    </row>
    <row r="157" spans="1:51" x14ac:dyDescent="0.25">
      <c r="A157" s="50"/>
      <c r="B157" s="50"/>
      <c r="C157" s="50"/>
      <c r="D157" s="50"/>
      <c r="E157" s="50"/>
      <c r="F157" s="50"/>
      <c r="G157" s="153"/>
      <c r="H157" s="167"/>
      <c r="I157" s="179">
        <v>0.02</v>
      </c>
      <c r="J157" s="191"/>
      <c r="K157" s="137"/>
      <c r="L157" s="136"/>
      <c r="M157" s="136"/>
      <c r="N157" s="134"/>
      <c r="O157" s="135"/>
      <c r="P157" s="136"/>
      <c r="Q157" s="136"/>
      <c r="R157" s="136"/>
      <c r="S157" s="139">
        <f t="shared" si="88"/>
        <v>3.5</v>
      </c>
      <c r="T157" s="139"/>
      <c r="U157" s="171"/>
      <c r="V157" s="157"/>
      <c r="W157" s="157"/>
      <c r="X157" s="37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  <c r="AY157" s="29"/>
    </row>
    <row r="158" spans="1:51" x14ac:dyDescent="0.25">
      <c r="A158" s="50"/>
      <c r="B158" s="50"/>
      <c r="C158" s="50"/>
      <c r="D158" s="50"/>
      <c r="E158" s="50"/>
      <c r="F158" s="50"/>
      <c r="G158" s="121">
        <f>G151+2</f>
        <v>43523</v>
      </c>
      <c r="H158" s="13" t="s">
        <v>46</v>
      </c>
      <c r="I158" s="14">
        <v>0.62000000000000011</v>
      </c>
      <c r="J158" s="190">
        <f t="shared" ref="J158:J163" si="89">S158*I158</f>
        <v>88.970000000000013</v>
      </c>
      <c r="K158" s="15">
        <v>5</v>
      </c>
      <c r="L158" s="15">
        <v>5</v>
      </c>
      <c r="M158" s="16"/>
      <c r="N158" s="17"/>
      <c r="O158" s="24">
        <f>S158*N158</f>
        <v>0</v>
      </c>
      <c r="P158" s="15"/>
      <c r="Q158" s="15"/>
      <c r="R158" s="16"/>
      <c r="S158" s="19">
        <f t="shared" si="88"/>
        <v>143.5</v>
      </c>
      <c r="T158" s="19">
        <f>K158*L158*J158+O158*P158*Q158</f>
        <v>2224.2500000000005</v>
      </c>
      <c r="U158" s="18">
        <f t="shared" ref="U158:U163" si="90">K158*L158+P158*Q158</f>
        <v>25</v>
      </c>
      <c r="V158" s="123">
        <f>T158+T159+T160+T161+T162+T163</f>
        <v>10013.25</v>
      </c>
      <c r="W158" s="144">
        <f>U158+U159+U160+U161+U162+U163</f>
        <v>155</v>
      </c>
      <c r="X158" s="37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9"/>
    </row>
    <row r="159" spans="1:51" x14ac:dyDescent="0.25">
      <c r="A159" s="50"/>
      <c r="B159" s="50"/>
      <c r="C159" s="50"/>
      <c r="D159" s="50"/>
      <c r="E159" s="50"/>
      <c r="F159" s="50"/>
      <c r="G159" s="30"/>
      <c r="H159" s="13" t="s">
        <v>47</v>
      </c>
      <c r="I159" s="14">
        <v>0.62000000000000011</v>
      </c>
      <c r="J159" s="190">
        <f t="shared" si="89"/>
        <v>57.970000000000013</v>
      </c>
      <c r="K159" s="15">
        <v>5</v>
      </c>
      <c r="L159" s="15">
        <v>5</v>
      </c>
      <c r="M159" s="16"/>
      <c r="N159" s="17"/>
      <c r="O159" s="24">
        <f t="shared" ref="O159:O163" si="91">S159*N159</f>
        <v>0</v>
      </c>
      <c r="P159" s="15"/>
      <c r="Q159" s="15"/>
      <c r="R159" s="16"/>
      <c r="S159" s="19">
        <f t="shared" si="88"/>
        <v>93.5</v>
      </c>
      <c r="T159" s="19">
        <f t="shared" ref="T159:T163" si="92">K159*L159*J159+O159*P159*Q159</f>
        <v>1449.2500000000002</v>
      </c>
      <c r="U159" s="18">
        <f t="shared" si="90"/>
        <v>25</v>
      </c>
      <c r="V159" s="25"/>
      <c r="W159" s="26"/>
      <c r="X159" s="37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  <c r="AY159" s="29"/>
    </row>
    <row r="160" spans="1:51" x14ac:dyDescent="0.25">
      <c r="A160" s="50"/>
      <c r="B160" s="50"/>
      <c r="C160" s="50"/>
      <c r="D160" s="50"/>
      <c r="E160" s="50"/>
      <c r="F160" s="50"/>
      <c r="G160" s="30"/>
      <c r="H160" s="13" t="s">
        <v>41</v>
      </c>
      <c r="I160" s="14">
        <v>0.62000000000000011</v>
      </c>
      <c r="J160" s="190">
        <f t="shared" si="89"/>
        <v>85.870000000000019</v>
      </c>
      <c r="K160" s="15">
        <v>3</v>
      </c>
      <c r="L160" s="15">
        <v>5</v>
      </c>
      <c r="M160" s="16"/>
      <c r="N160" s="17">
        <v>0.7</v>
      </c>
      <c r="O160" s="24">
        <f t="shared" si="91"/>
        <v>96.949999999999989</v>
      </c>
      <c r="P160" s="15">
        <v>3</v>
      </c>
      <c r="Q160" s="15">
        <v>5</v>
      </c>
      <c r="R160" s="16"/>
      <c r="S160" s="19">
        <f t="shared" si="88"/>
        <v>138.5</v>
      </c>
      <c r="T160" s="19">
        <f t="shared" si="92"/>
        <v>2742.3</v>
      </c>
      <c r="U160" s="18">
        <f t="shared" si="90"/>
        <v>30</v>
      </c>
      <c r="V160" s="25"/>
      <c r="W160" s="26"/>
      <c r="X160" s="37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</row>
    <row r="161" spans="1:51" x14ac:dyDescent="0.25">
      <c r="A161" s="50"/>
      <c r="B161" s="50"/>
      <c r="C161" s="50"/>
      <c r="D161" s="50"/>
      <c r="E161" s="50"/>
      <c r="F161" s="50"/>
      <c r="G161" s="30"/>
      <c r="H161" s="13" t="s">
        <v>48</v>
      </c>
      <c r="I161" s="14">
        <v>0.52</v>
      </c>
      <c r="J161" s="190">
        <f t="shared" si="89"/>
        <v>64.22</v>
      </c>
      <c r="K161" s="15">
        <v>1</v>
      </c>
      <c r="L161" s="15">
        <v>10</v>
      </c>
      <c r="M161" s="16"/>
      <c r="N161" s="17">
        <v>0.7</v>
      </c>
      <c r="O161" s="24">
        <f t="shared" si="91"/>
        <v>86.449999999999989</v>
      </c>
      <c r="P161" s="15">
        <v>3</v>
      </c>
      <c r="Q161" s="15">
        <v>5</v>
      </c>
      <c r="R161" s="16"/>
      <c r="S161" s="19">
        <f t="shared" si="88"/>
        <v>123.5</v>
      </c>
      <c r="T161" s="19">
        <f t="shared" si="92"/>
        <v>1938.9499999999998</v>
      </c>
      <c r="U161" s="18">
        <f t="shared" si="90"/>
        <v>25</v>
      </c>
      <c r="V161" s="25"/>
      <c r="W161" s="26"/>
      <c r="X161" s="37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  <c r="AY161" s="29"/>
    </row>
    <row r="162" spans="1:51" x14ac:dyDescent="0.25">
      <c r="A162" s="50"/>
      <c r="B162" s="50"/>
      <c r="C162" s="50"/>
      <c r="D162" s="50"/>
      <c r="E162" s="50"/>
      <c r="F162" s="50"/>
      <c r="G162" s="30"/>
      <c r="H162" s="13" t="s">
        <v>49</v>
      </c>
      <c r="I162" s="14">
        <v>0.62000000000000011</v>
      </c>
      <c r="J162" s="190">
        <f t="shared" si="89"/>
        <v>39.370000000000005</v>
      </c>
      <c r="K162" s="15">
        <v>5</v>
      </c>
      <c r="L162" s="15">
        <v>5</v>
      </c>
      <c r="M162" s="16"/>
      <c r="N162" s="17"/>
      <c r="O162" s="24">
        <f t="shared" si="91"/>
        <v>0</v>
      </c>
      <c r="P162" s="15"/>
      <c r="Q162" s="15"/>
      <c r="R162" s="16"/>
      <c r="S162" s="19">
        <f t="shared" si="88"/>
        <v>63.5</v>
      </c>
      <c r="T162" s="19">
        <f t="shared" si="92"/>
        <v>984.25000000000011</v>
      </c>
      <c r="U162" s="18">
        <f t="shared" si="90"/>
        <v>25</v>
      </c>
      <c r="V162" s="25"/>
      <c r="W162" s="26"/>
      <c r="X162" s="37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  <c r="AY162" s="29"/>
    </row>
    <row r="163" spans="1:51" x14ac:dyDescent="0.25">
      <c r="A163" s="50"/>
      <c r="B163" s="50"/>
      <c r="C163" s="50"/>
      <c r="D163" s="50"/>
      <c r="E163" s="50"/>
      <c r="F163" s="50"/>
      <c r="G163" s="158"/>
      <c r="H163" s="13" t="s">
        <v>50</v>
      </c>
      <c r="I163" s="14">
        <v>0.62000000000000011</v>
      </c>
      <c r="J163" s="190">
        <f t="shared" si="89"/>
        <v>26.970000000000006</v>
      </c>
      <c r="K163" s="15">
        <v>5</v>
      </c>
      <c r="L163" s="15">
        <v>5</v>
      </c>
      <c r="M163" s="16"/>
      <c r="N163" s="17"/>
      <c r="O163" s="24">
        <f t="shared" si="91"/>
        <v>0</v>
      </c>
      <c r="P163" s="15"/>
      <c r="Q163" s="15"/>
      <c r="R163" s="16"/>
      <c r="S163" s="19">
        <f t="shared" si="88"/>
        <v>43.5</v>
      </c>
      <c r="T163" s="19">
        <f t="shared" si="92"/>
        <v>674.25000000000011</v>
      </c>
      <c r="U163" s="18">
        <f t="shared" si="90"/>
        <v>25</v>
      </c>
      <c r="V163" s="127"/>
      <c r="W163" s="146"/>
      <c r="X163" s="37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9"/>
    </row>
    <row r="164" spans="1:51" x14ac:dyDescent="0.25">
      <c r="A164" s="50"/>
      <c r="B164" s="50"/>
      <c r="C164" s="50"/>
      <c r="D164" s="50"/>
      <c r="E164" s="50"/>
      <c r="F164" s="50"/>
      <c r="G164" s="180"/>
      <c r="H164" s="176"/>
      <c r="I164" s="177">
        <v>0.02</v>
      </c>
      <c r="J164" s="191"/>
      <c r="K164" s="181"/>
      <c r="L164" s="182"/>
      <c r="M164" s="182"/>
      <c r="N164" s="183" t="s">
        <v>69</v>
      </c>
      <c r="O164" s="184"/>
      <c r="P164" s="182"/>
      <c r="Q164" s="182"/>
      <c r="R164" s="182"/>
      <c r="S164" s="139">
        <f t="shared" si="88"/>
        <v>3.5</v>
      </c>
      <c r="T164" s="139"/>
      <c r="U164" s="171"/>
      <c r="V164" s="162"/>
      <c r="W164" s="162"/>
      <c r="X164" s="37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  <c r="AY164" s="29"/>
    </row>
    <row r="165" spans="1:51" ht="20.25" customHeight="1" x14ac:dyDescent="0.25">
      <c r="A165" s="50"/>
      <c r="B165" s="50"/>
      <c r="C165" s="50"/>
      <c r="D165" s="50"/>
      <c r="E165" s="50"/>
      <c r="F165" s="50"/>
      <c r="G165" s="121">
        <f>G158+2</f>
        <v>43525</v>
      </c>
      <c r="H165" s="13" t="s">
        <v>51</v>
      </c>
      <c r="I165" s="14">
        <v>0.71999999999999986</v>
      </c>
      <c r="J165" s="190">
        <f t="shared" ref="J165:J170" si="93">S165*I165</f>
        <v>74.519999999999982</v>
      </c>
      <c r="K165" s="15">
        <v>3</v>
      </c>
      <c r="L165" s="15">
        <v>5</v>
      </c>
      <c r="M165" s="16"/>
      <c r="N165" s="17"/>
      <c r="O165" s="24">
        <f>S165*N165</f>
        <v>0</v>
      </c>
      <c r="P165" s="15"/>
      <c r="Q165" s="15"/>
      <c r="R165" s="16"/>
      <c r="S165" s="19">
        <f t="shared" si="88"/>
        <v>103.5</v>
      </c>
      <c r="T165" s="19">
        <f>K165*L165*J165+O165*P165*Q165</f>
        <v>1117.7999999999997</v>
      </c>
      <c r="U165" s="18">
        <f t="shared" ref="U165:U170" si="94">K165*L165+P165*Q165</f>
        <v>15</v>
      </c>
      <c r="V165" s="123">
        <f>T165+T166+T167+T168+T169+T170</f>
        <v>7376.05</v>
      </c>
      <c r="W165" s="144">
        <f>U165+U166+U167+U168+U169+U170</f>
        <v>139</v>
      </c>
      <c r="X165" s="37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  <c r="AY165" s="29"/>
    </row>
    <row r="166" spans="1:51" x14ac:dyDescent="0.25">
      <c r="A166" s="50"/>
      <c r="B166" s="50"/>
      <c r="C166" s="50"/>
      <c r="D166" s="50"/>
      <c r="E166" s="50"/>
      <c r="F166" s="50"/>
      <c r="G166" s="30"/>
      <c r="H166" s="13" t="s">
        <v>52</v>
      </c>
      <c r="I166" s="14">
        <v>0.62000000000000011</v>
      </c>
      <c r="J166" s="190">
        <f t="shared" si="93"/>
        <v>82.77000000000001</v>
      </c>
      <c r="K166" s="15">
        <v>2</v>
      </c>
      <c r="L166" s="15">
        <v>5</v>
      </c>
      <c r="M166" s="16"/>
      <c r="N166" s="17">
        <v>0.75</v>
      </c>
      <c r="O166" s="24">
        <f t="shared" ref="O166:O170" si="95">S166*N166</f>
        <v>100.125</v>
      </c>
      <c r="P166" s="15">
        <v>3</v>
      </c>
      <c r="Q166" s="15">
        <v>3</v>
      </c>
      <c r="R166" s="16"/>
      <c r="S166" s="19">
        <f t="shared" si="88"/>
        <v>133.5</v>
      </c>
      <c r="T166" s="19">
        <f t="shared" ref="T166:T170" si="96">K166*L166*J166+O166*P166*Q166</f>
        <v>1728.825</v>
      </c>
      <c r="U166" s="18">
        <f t="shared" si="94"/>
        <v>19</v>
      </c>
      <c r="V166" s="25"/>
      <c r="W166" s="26"/>
      <c r="X166" s="37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  <c r="AY166" s="29"/>
    </row>
    <row r="167" spans="1:51" x14ac:dyDescent="0.25">
      <c r="A167" s="50"/>
      <c r="B167" s="50"/>
      <c r="C167" s="50"/>
      <c r="D167" s="50"/>
      <c r="E167" s="50"/>
      <c r="F167" s="50"/>
      <c r="G167" s="30"/>
      <c r="H167" s="13" t="s">
        <v>53</v>
      </c>
      <c r="I167" s="14">
        <v>0.62000000000000011</v>
      </c>
      <c r="J167" s="190">
        <f t="shared" si="93"/>
        <v>30.070000000000004</v>
      </c>
      <c r="K167" s="15">
        <v>5</v>
      </c>
      <c r="L167" s="15">
        <v>5</v>
      </c>
      <c r="M167" s="16"/>
      <c r="N167" s="17"/>
      <c r="O167" s="24">
        <f t="shared" si="95"/>
        <v>0</v>
      </c>
      <c r="P167" s="15"/>
      <c r="Q167" s="15"/>
      <c r="R167" s="16"/>
      <c r="S167" s="19">
        <f t="shared" si="88"/>
        <v>48.5</v>
      </c>
      <c r="T167" s="19">
        <f t="shared" si="96"/>
        <v>751.75000000000011</v>
      </c>
      <c r="U167" s="18">
        <f t="shared" si="94"/>
        <v>25</v>
      </c>
      <c r="V167" s="25"/>
      <c r="W167" s="26"/>
      <c r="X167" s="37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  <c r="AY167" s="29"/>
    </row>
    <row r="168" spans="1:51" x14ac:dyDescent="0.25">
      <c r="A168" s="50"/>
      <c r="B168" s="50"/>
      <c r="C168" s="50"/>
      <c r="D168" s="50"/>
      <c r="E168" s="50"/>
      <c r="F168" s="50"/>
      <c r="G168" s="30"/>
      <c r="H168" s="13" t="s">
        <v>54</v>
      </c>
      <c r="I168" s="14">
        <v>0.62000000000000011</v>
      </c>
      <c r="J168" s="190">
        <f t="shared" si="93"/>
        <v>39.370000000000005</v>
      </c>
      <c r="K168" s="15">
        <v>3</v>
      </c>
      <c r="L168" s="15">
        <v>5</v>
      </c>
      <c r="M168" s="16"/>
      <c r="N168" s="17">
        <v>0.7</v>
      </c>
      <c r="O168" s="24">
        <f t="shared" si="95"/>
        <v>44.449999999999996</v>
      </c>
      <c r="P168" s="15">
        <v>3</v>
      </c>
      <c r="Q168" s="15">
        <v>5</v>
      </c>
      <c r="R168" s="16"/>
      <c r="S168" s="19">
        <f t="shared" si="88"/>
        <v>63.5</v>
      </c>
      <c r="T168" s="19">
        <f t="shared" si="96"/>
        <v>1257.3000000000002</v>
      </c>
      <c r="U168" s="18">
        <f t="shared" si="94"/>
        <v>30</v>
      </c>
      <c r="V168" s="25"/>
      <c r="W168" s="26"/>
      <c r="X168" s="37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  <c r="AY168" s="29"/>
    </row>
    <row r="169" spans="1:51" x14ac:dyDescent="0.25">
      <c r="A169" s="50"/>
      <c r="B169" s="50"/>
      <c r="C169" s="50"/>
      <c r="D169" s="50"/>
      <c r="E169" s="50"/>
      <c r="F169" s="50"/>
      <c r="G169" s="30"/>
      <c r="H169" s="13" t="s">
        <v>55</v>
      </c>
      <c r="I169" s="14">
        <v>0.87</v>
      </c>
      <c r="J169" s="190">
        <f t="shared" si="93"/>
        <v>55.244999999999997</v>
      </c>
      <c r="K169" s="15">
        <v>5</v>
      </c>
      <c r="L169" s="15">
        <v>5</v>
      </c>
      <c r="M169" s="16"/>
      <c r="N169" s="17"/>
      <c r="O169" s="24">
        <f t="shared" si="95"/>
        <v>0</v>
      </c>
      <c r="P169" s="15"/>
      <c r="Q169" s="15"/>
      <c r="R169" s="16"/>
      <c r="S169" s="19">
        <f t="shared" si="88"/>
        <v>63.5</v>
      </c>
      <c r="T169" s="19">
        <f t="shared" si="96"/>
        <v>1381.125</v>
      </c>
      <c r="U169" s="18">
        <f t="shared" si="94"/>
        <v>25</v>
      </c>
      <c r="V169" s="25"/>
      <c r="W169" s="26"/>
      <c r="X169" s="37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  <c r="AY169" s="29"/>
    </row>
    <row r="170" spans="1:51" x14ac:dyDescent="0.25">
      <c r="A170" s="50"/>
      <c r="B170" s="50"/>
      <c r="C170" s="50"/>
      <c r="D170" s="50"/>
      <c r="E170" s="50"/>
      <c r="F170" s="50"/>
      <c r="G170" s="158"/>
      <c r="H170" s="13" t="s">
        <v>56</v>
      </c>
      <c r="I170" s="14">
        <v>0.62000000000000011</v>
      </c>
      <c r="J170" s="190">
        <f t="shared" si="93"/>
        <v>45.570000000000007</v>
      </c>
      <c r="K170" s="15">
        <v>5</v>
      </c>
      <c r="L170" s="15">
        <v>5</v>
      </c>
      <c r="M170" s="16"/>
      <c r="N170" s="17"/>
      <c r="O170" s="24">
        <f t="shared" si="95"/>
        <v>0</v>
      </c>
      <c r="P170" s="15"/>
      <c r="Q170" s="15"/>
      <c r="R170" s="16"/>
      <c r="S170" s="19">
        <f t="shared" si="88"/>
        <v>73.5</v>
      </c>
      <c r="T170" s="19">
        <f t="shared" si="96"/>
        <v>1139.2500000000002</v>
      </c>
      <c r="U170" s="18">
        <f t="shared" si="94"/>
        <v>25</v>
      </c>
      <c r="V170" s="127"/>
      <c r="W170" s="146"/>
      <c r="X170" s="37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  <c r="AY170" s="29"/>
    </row>
    <row r="171" spans="1:51" x14ac:dyDescent="0.25">
      <c r="A171" s="50"/>
      <c r="B171" s="50"/>
      <c r="C171" s="50"/>
      <c r="D171" s="50"/>
      <c r="E171" s="50"/>
      <c r="F171" s="50"/>
      <c r="G171" s="150" t="s">
        <v>62</v>
      </c>
      <c r="H171" s="150"/>
      <c r="I171" s="150"/>
      <c r="J171" s="194"/>
      <c r="K171" s="150"/>
      <c r="L171" s="150"/>
      <c r="M171" s="150"/>
      <c r="N171" s="150"/>
      <c r="O171" s="150"/>
      <c r="P171" s="150"/>
      <c r="Q171" s="150"/>
      <c r="R171" s="150"/>
      <c r="S171" s="163">
        <f t="shared" si="88"/>
        <v>3.5</v>
      </c>
      <c r="T171" s="150"/>
      <c r="U171" s="150"/>
      <c r="V171" s="114">
        <f>V172+V179+V186</f>
        <v>29875.35</v>
      </c>
      <c r="W171" s="114">
        <f>W172+W179+W186</f>
        <v>432</v>
      </c>
      <c r="X171" s="115">
        <f>V171/W171</f>
        <v>69.155902777777769</v>
      </c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  <c r="AY171" s="29"/>
    </row>
    <row r="172" spans="1:51" x14ac:dyDescent="0.25">
      <c r="A172" s="50"/>
      <c r="B172" s="50"/>
      <c r="C172" s="50"/>
      <c r="D172" s="50"/>
      <c r="E172" s="50"/>
      <c r="F172" s="50"/>
      <c r="G172" s="121">
        <f>G165+3</f>
        <v>43528</v>
      </c>
      <c r="H172" s="13" t="s">
        <v>40</v>
      </c>
      <c r="I172" s="14">
        <v>0.63000000000000012</v>
      </c>
      <c r="J172" s="190">
        <f t="shared" ref="J172:J177" si="97">S172*I172</f>
        <v>97.020000000000024</v>
      </c>
      <c r="K172" s="15">
        <v>3</v>
      </c>
      <c r="L172" s="15">
        <v>5</v>
      </c>
      <c r="M172" s="16"/>
      <c r="N172" s="17">
        <v>0.75</v>
      </c>
      <c r="O172" s="24">
        <f>S172*N172</f>
        <v>115.5</v>
      </c>
      <c r="P172" s="15">
        <v>3</v>
      </c>
      <c r="Q172" s="15">
        <v>3</v>
      </c>
      <c r="R172" s="16"/>
      <c r="S172" s="19">
        <f t="shared" si="88"/>
        <v>154</v>
      </c>
      <c r="T172" s="19">
        <f>K172*L172*J172+O172*P172*Q172</f>
        <v>2494.8000000000002</v>
      </c>
      <c r="U172" s="18">
        <f>K172*L172+P172*Q172</f>
        <v>24</v>
      </c>
      <c r="V172" s="123">
        <f>T172+T173+T174+T175+T176+T177</f>
        <v>11266.69</v>
      </c>
      <c r="W172" s="144">
        <f>U172+U173+U174+U175+U176+U177</f>
        <v>156</v>
      </c>
      <c r="X172" s="38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  <c r="AY172" s="29"/>
    </row>
    <row r="173" spans="1:51" x14ac:dyDescent="0.25">
      <c r="A173" s="50"/>
      <c r="B173" s="50"/>
      <c r="C173" s="50"/>
      <c r="D173" s="50"/>
      <c r="E173" s="50"/>
      <c r="F173" s="50"/>
      <c r="G173" s="30"/>
      <c r="H173" s="13" t="s">
        <v>41</v>
      </c>
      <c r="I173" s="14">
        <v>0.68000000000000016</v>
      </c>
      <c r="J173" s="190">
        <f t="shared" si="97"/>
        <v>94.520000000000024</v>
      </c>
      <c r="K173" s="15">
        <v>2</v>
      </c>
      <c r="L173" s="15">
        <v>5</v>
      </c>
      <c r="M173" s="16"/>
      <c r="N173" s="17">
        <v>0.85</v>
      </c>
      <c r="O173" s="24">
        <f t="shared" ref="O173:O177" si="98">S173*N173</f>
        <v>118.14999999999999</v>
      </c>
      <c r="P173" s="15">
        <v>5</v>
      </c>
      <c r="Q173" s="15">
        <v>4</v>
      </c>
      <c r="R173" s="16"/>
      <c r="S173" s="19">
        <f t="shared" si="88"/>
        <v>139</v>
      </c>
      <c r="T173" s="19">
        <f t="shared" ref="T173:T177" si="99">K173*L173*J173+O173*P173*Q173</f>
        <v>3308.2000000000003</v>
      </c>
      <c r="U173" s="18">
        <f t="shared" ref="U173:U177" si="100">K173*L173+P173*Q173</f>
        <v>30</v>
      </c>
      <c r="V173" s="25"/>
      <c r="W173" s="26"/>
      <c r="X173" s="38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  <c r="AY173" s="29"/>
    </row>
    <row r="174" spans="1:51" x14ac:dyDescent="0.25">
      <c r="A174" s="50"/>
      <c r="B174" s="50"/>
      <c r="C174" s="50"/>
      <c r="D174" s="50"/>
      <c r="E174" s="50"/>
      <c r="F174" s="50"/>
      <c r="G174" s="30"/>
      <c r="H174" s="13" t="s">
        <v>42</v>
      </c>
      <c r="I174" s="14">
        <v>0.68000000000000016</v>
      </c>
      <c r="J174" s="190">
        <f t="shared" si="97"/>
        <v>77.520000000000024</v>
      </c>
      <c r="K174" s="15">
        <v>1</v>
      </c>
      <c r="L174" s="15">
        <v>8</v>
      </c>
      <c r="M174" s="16"/>
      <c r="N174" s="17">
        <v>0.7</v>
      </c>
      <c r="O174" s="24">
        <f t="shared" si="98"/>
        <v>79.8</v>
      </c>
      <c r="P174" s="15">
        <v>3</v>
      </c>
      <c r="Q174" s="15">
        <v>5</v>
      </c>
      <c r="R174" s="16"/>
      <c r="S174" s="19">
        <f t="shared" si="88"/>
        <v>114</v>
      </c>
      <c r="T174" s="19">
        <f t="shared" si="99"/>
        <v>1817.1600000000003</v>
      </c>
      <c r="U174" s="18">
        <f t="shared" si="100"/>
        <v>23</v>
      </c>
      <c r="V174" s="25"/>
      <c r="W174" s="26"/>
      <c r="X174" s="38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  <c r="AY174" s="29"/>
    </row>
    <row r="175" spans="1:51" x14ac:dyDescent="0.25">
      <c r="A175" s="50"/>
      <c r="B175" s="50"/>
      <c r="C175" s="50"/>
      <c r="D175" s="50"/>
      <c r="E175" s="50"/>
      <c r="F175" s="50"/>
      <c r="G175" s="30"/>
      <c r="H175" s="13" t="s">
        <v>43</v>
      </c>
      <c r="I175" s="14">
        <v>0.63000000000000012</v>
      </c>
      <c r="J175" s="190">
        <f t="shared" si="97"/>
        <v>52.920000000000009</v>
      </c>
      <c r="K175" s="15">
        <v>1</v>
      </c>
      <c r="L175" s="15">
        <v>8</v>
      </c>
      <c r="M175" s="16"/>
      <c r="N175" s="17">
        <v>0.7</v>
      </c>
      <c r="O175" s="24">
        <f t="shared" si="98"/>
        <v>58.8</v>
      </c>
      <c r="P175" s="15">
        <v>3</v>
      </c>
      <c r="Q175" s="15">
        <v>5</v>
      </c>
      <c r="R175" s="16"/>
      <c r="S175" s="19">
        <f t="shared" si="88"/>
        <v>84</v>
      </c>
      <c r="T175" s="19">
        <f t="shared" si="99"/>
        <v>1305.3599999999999</v>
      </c>
      <c r="U175" s="18">
        <f t="shared" si="100"/>
        <v>23</v>
      </c>
      <c r="V175" s="25"/>
      <c r="W175" s="26"/>
      <c r="X175" s="38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  <c r="AY175" s="29"/>
    </row>
    <row r="176" spans="1:51" x14ac:dyDescent="0.25">
      <c r="A176" s="50"/>
      <c r="B176" s="50"/>
      <c r="C176" s="50"/>
      <c r="D176" s="50"/>
      <c r="E176" s="50"/>
      <c r="F176" s="50"/>
      <c r="G176" s="30"/>
      <c r="H176" s="13" t="s">
        <v>44</v>
      </c>
      <c r="I176" s="14">
        <v>0.63000000000000012</v>
      </c>
      <c r="J176" s="190">
        <f t="shared" si="97"/>
        <v>34.020000000000003</v>
      </c>
      <c r="K176" s="15">
        <v>1</v>
      </c>
      <c r="L176" s="15">
        <v>8</v>
      </c>
      <c r="M176" s="16"/>
      <c r="N176" s="17">
        <v>0.7</v>
      </c>
      <c r="O176" s="24">
        <f t="shared" si="98"/>
        <v>37.799999999999997</v>
      </c>
      <c r="P176" s="15">
        <v>5</v>
      </c>
      <c r="Q176" s="15">
        <v>5</v>
      </c>
      <c r="R176" s="16"/>
      <c r="S176" s="19">
        <f t="shared" si="88"/>
        <v>54</v>
      </c>
      <c r="T176" s="19">
        <f t="shared" si="99"/>
        <v>1217.1600000000001</v>
      </c>
      <c r="U176" s="18">
        <f t="shared" si="100"/>
        <v>33</v>
      </c>
      <c r="V176" s="25"/>
      <c r="W176" s="26"/>
      <c r="X176" s="38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  <c r="AY176" s="29"/>
    </row>
    <row r="177" spans="1:51" x14ac:dyDescent="0.25">
      <c r="A177" s="50"/>
      <c r="B177" s="50"/>
      <c r="C177" s="50"/>
      <c r="D177" s="50"/>
      <c r="E177" s="50"/>
      <c r="F177" s="50"/>
      <c r="G177" s="158"/>
      <c r="H177" s="13" t="s">
        <v>45</v>
      </c>
      <c r="I177" s="14">
        <v>0.63000000000000012</v>
      </c>
      <c r="J177" s="190">
        <f t="shared" si="97"/>
        <v>43.470000000000006</v>
      </c>
      <c r="K177" s="15">
        <v>1</v>
      </c>
      <c r="L177" s="15">
        <v>8</v>
      </c>
      <c r="M177" s="16"/>
      <c r="N177" s="17">
        <v>0.75</v>
      </c>
      <c r="O177" s="24">
        <f t="shared" si="98"/>
        <v>51.75</v>
      </c>
      <c r="P177" s="15">
        <v>3</v>
      </c>
      <c r="Q177" s="15">
        <v>5</v>
      </c>
      <c r="R177" s="16"/>
      <c r="S177" s="19">
        <f t="shared" si="88"/>
        <v>69</v>
      </c>
      <c r="T177" s="19">
        <f t="shared" si="99"/>
        <v>1124.01</v>
      </c>
      <c r="U177" s="18">
        <f t="shared" si="100"/>
        <v>23</v>
      </c>
      <c r="V177" s="127"/>
      <c r="W177" s="146"/>
      <c r="X177" s="38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  <c r="AY177" s="29"/>
    </row>
    <row r="178" spans="1:51" x14ac:dyDescent="0.25">
      <c r="A178" s="50"/>
      <c r="B178" s="50"/>
      <c r="C178" s="50"/>
      <c r="D178" s="50"/>
      <c r="E178" s="50"/>
      <c r="F178" s="50"/>
      <c r="G178" s="159"/>
      <c r="H178" s="167"/>
      <c r="I178" s="179">
        <v>0.03</v>
      </c>
      <c r="J178" s="191"/>
      <c r="K178" s="137"/>
      <c r="L178" s="136"/>
      <c r="M178" s="136"/>
      <c r="N178" s="134"/>
      <c r="O178" s="135"/>
      <c r="P178" s="136"/>
      <c r="Q178" s="136"/>
      <c r="R178" s="136"/>
      <c r="S178" s="139">
        <f t="shared" si="88"/>
        <v>4</v>
      </c>
      <c r="T178" s="139"/>
      <c r="U178" s="171"/>
      <c r="V178" s="162"/>
      <c r="W178" s="162"/>
      <c r="X178" s="38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  <c r="AY178" s="29"/>
    </row>
    <row r="179" spans="1:51" x14ac:dyDescent="0.25">
      <c r="A179" s="50"/>
      <c r="B179" s="50"/>
      <c r="C179" s="50"/>
      <c r="D179" s="50"/>
      <c r="E179" s="50"/>
      <c r="F179" s="50"/>
      <c r="G179" s="121">
        <f>G172+2</f>
        <v>43530</v>
      </c>
      <c r="H179" s="13" t="s">
        <v>46</v>
      </c>
      <c r="I179" s="14">
        <v>0.68000000000000016</v>
      </c>
      <c r="J179" s="190">
        <f t="shared" ref="J179:J184" si="101">S179*I179</f>
        <v>97.920000000000016</v>
      </c>
      <c r="K179" s="15">
        <v>2</v>
      </c>
      <c r="L179" s="15">
        <v>8</v>
      </c>
      <c r="M179" s="16"/>
      <c r="N179" s="17">
        <v>0.8</v>
      </c>
      <c r="O179" s="24">
        <f>S179*N179</f>
        <v>115.2</v>
      </c>
      <c r="P179" s="15">
        <v>5</v>
      </c>
      <c r="Q179" s="15">
        <v>5</v>
      </c>
      <c r="R179" s="16"/>
      <c r="S179" s="19">
        <f t="shared" si="88"/>
        <v>144</v>
      </c>
      <c r="T179" s="19">
        <f>K179*L179*J179+O179*P179*Q179</f>
        <v>4446.72</v>
      </c>
      <c r="U179" s="18">
        <f t="shared" ref="U179:U184" si="102">K179*L179+P179*Q179</f>
        <v>41</v>
      </c>
      <c r="V179" s="123">
        <f>T179+T180+T181+T182+T183+T184</f>
        <v>10841.279999999999</v>
      </c>
      <c r="W179" s="144">
        <f>U179+U180+U181+U182+U183+U184</f>
        <v>143</v>
      </c>
      <c r="X179" s="38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  <c r="AY179" s="29"/>
    </row>
    <row r="180" spans="1:51" x14ac:dyDescent="0.25">
      <c r="A180" s="50"/>
      <c r="B180" s="50"/>
      <c r="C180" s="50"/>
      <c r="D180" s="50"/>
      <c r="E180" s="50"/>
      <c r="F180" s="50"/>
      <c r="G180" s="30"/>
      <c r="H180" s="13" t="s">
        <v>47</v>
      </c>
      <c r="I180" s="14">
        <v>0.73</v>
      </c>
      <c r="J180" s="190">
        <f t="shared" si="101"/>
        <v>68.62</v>
      </c>
      <c r="K180" s="15">
        <v>3</v>
      </c>
      <c r="L180" s="15">
        <v>8</v>
      </c>
      <c r="M180" s="16"/>
      <c r="N180" s="17"/>
      <c r="O180" s="24">
        <f t="shared" ref="O180:O184" si="103">S180*N180</f>
        <v>0</v>
      </c>
      <c r="P180" s="15"/>
      <c r="Q180" s="15"/>
      <c r="R180" s="16"/>
      <c r="S180" s="19">
        <f t="shared" si="88"/>
        <v>94</v>
      </c>
      <c r="T180" s="19">
        <f t="shared" ref="T180:T184" si="104">K180*L180*J180+O180*P180*Q180</f>
        <v>1646.88</v>
      </c>
      <c r="U180" s="18">
        <f t="shared" si="102"/>
        <v>24</v>
      </c>
      <c r="V180" s="25"/>
      <c r="W180" s="26"/>
      <c r="X180" s="38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  <c r="AY180" s="29"/>
    </row>
    <row r="181" spans="1:51" x14ac:dyDescent="0.25">
      <c r="A181" s="50"/>
      <c r="B181" s="50"/>
      <c r="C181" s="50"/>
      <c r="D181" s="50"/>
      <c r="E181" s="50"/>
      <c r="F181" s="50"/>
      <c r="G181" s="30"/>
      <c r="H181" s="13" t="s">
        <v>41</v>
      </c>
      <c r="I181" s="14">
        <v>0.53</v>
      </c>
      <c r="J181" s="190">
        <f t="shared" si="101"/>
        <v>73.67</v>
      </c>
      <c r="K181" s="15">
        <v>3</v>
      </c>
      <c r="L181" s="15">
        <v>5</v>
      </c>
      <c r="M181" s="16"/>
      <c r="N181" s="17">
        <v>0.65</v>
      </c>
      <c r="O181" s="24">
        <f t="shared" si="103"/>
        <v>90.350000000000009</v>
      </c>
      <c r="P181" s="15">
        <v>3</v>
      </c>
      <c r="Q181" s="15">
        <v>3</v>
      </c>
      <c r="R181" s="16"/>
      <c r="S181" s="19">
        <f t="shared" si="88"/>
        <v>139</v>
      </c>
      <c r="T181" s="19">
        <f t="shared" si="104"/>
        <v>1918.2</v>
      </c>
      <c r="U181" s="18">
        <f t="shared" si="102"/>
        <v>24</v>
      </c>
      <c r="V181" s="25"/>
      <c r="W181" s="26"/>
      <c r="X181" s="38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9"/>
    </row>
    <row r="182" spans="1:51" x14ac:dyDescent="0.25">
      <c r="A182" s="50"/>
      <c r="B182" s="50"/>
      <c r="C182" s="50"/>
      <c r="D182" s="50"/>
      <c r="E182" s="50"/>
      <c r="F182" s="50"/>
      <c r="G182" s="30"/>
      <c r="H182" s="13" t="s">
        <v>48</v>
      </c>
      <c r="I182" s="14">
        <v>0.73</v>
      </c>
      <c r="J182" s="190">
        <f t="shared" si="101"/>
        <v>90.52</v>
      </c>
      <c r="K182" s="15">
        <v>3</v>
      </c>
      <c r="L182" s="15">
        <v>5</v>
      </c>
      <c r="M182" s="16"/>
      <c r="N182" s="17"/>
      <c r="O182" s="24">
        <f t="shared" si="103"/>
        <v>0</v>
      </c>
      <c r="P182" s="15"/>
      <c r="Q182" s="15"/>
      <c r="R182" s="16"/>
      <c r="S182" s="19">
        <f t="shared" si="88"/>
        <v>124</v>
      </c>
      <c r="T182" s="19">
        <f t="shared" si="104"/>
        <v>1357.8</v>
      </c>
      <c r="U182" s="18">
        <f t="shared" si="102"/>
        <v>15</v>
      </c>
      <c r="V182" s="25"/>
      <c r="W182" s="26"/>
      <c r="X182" s="38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36"/>
      <c r="AL182" s="36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  <c r="AY182" s="29"/>
    </row>
    <row r="183" spans="1:51" x14ac:dyDescent="0.25">
      <c r="A183" s="50"/>
      <c r="B183" s="50"/>
      <c r="C183" s="50"/>
      <c r="D183" s="50"/>
      <c r="E183" s="50"/>
      <c r="F183" s="50"/>
      <c r="G183" s="30"/>
      <c r="H183" s="13" t="s">
        <v>49</v>
      </c>
      <c r="I183" s="14">
        <v>0.73</v>
      </c>
      <c r="J183" s="190">
        <f t="shared" si="101"/>
        <v>46.72</v>
      </c>
      <c r="K183" s="15">
        <v>3</v>
      </c>
      <c r="L183" s="15">
        <v>5</v>
      </c>
      <c r="M183" s="16"/>
      <c r="N183" s="17"/>
      <c r="O183" s="24">
        <f t="shared" si="103"/>
        <v>0</v>
      </c>
      <c r="P183" s="15"/>
      <c r="Q183" s="15"/>
      <c r="R183" s="16"/>
      <c r="S183" s="19">
        <f t="shared" si="88"/>
        <v>64</v>
      </c>
      <c r="T183" s="19">
        <f t="shared" si="104"/>
        <v>700.8</v>
      </c>
      <c r="U183" s="18">
        <f t="shared" si="102"/>
        <v>15</v>
      </c>
      <c r="V183" s="25"/>
      <c r="W183" s="26"/>
      <c r="X183" s="38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36"/>
      <c r="AL183" s="36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  <c r="AY183" s="29"/>
    </row>
    <row r="184" spans="1:51" x14ac:dyDescent="0.25">
      <c r="A184" s="50"/>
      <c r="B184" s="50"/>
      <c r="C184" s="50"/>
      <c r="D184" s="50"/>
      <c r="E184" s="50"/>
      <c r="F184" s="50"/>
      <c r="G184" s="158"/>
      <c r="H184" s="13" t="s">
        <v>50</v>
      </c>
      <c r="I184" s="14">
        <v>0.73</v>
      </c>
      <c r="J184" s="190">
        <f t="shared" si="101"/>
        <v>32.119999999999997</v>
      </c>
      <c r="K184" s="15">
        <v>3</v>
      </c>
      <c r="L184" s="15">
        <v>8</v>
      </c>
      <c r="M184" s="16"/>
      <c r="N184" s="17"/>
      <c r="O184" s="24">
        <f t="shared" si="103"/>
        <v>0</v>
      </c>
      <c r="P184" s="15"/>
      <c r="Q184" s="15"/>
      <c r="R184" s="16"/>
      <c r="S184" s="19">
        <f t="shared" si="88"/>
        <v>44</v>
      </c>
      <c r="T184" s="19">
        <f t="shared" si="104"/>
        <v>770.87999999999988</v>
      </c>
      <c r="U184" s="18">
        <f t="shared" si="102"/>
        <v>24</v>
      </c>
      <c r="V184" s="127"/>
      <c r="W184" s="146"/>
      <c r="X184" s="38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36"/>
      <c r="AL184" s="36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  <c r="AY184" s="29"/>
    </row>
    <row r="185" spans="1:51" x14ac:dyDescent="0.25">
      <c r="A185" s="50"/>
      <c r="B185" s="50"/>
      <c r="C185" s="50"/>
      <c r="D185" s="50"/>
      <c r="E185" s="50"/>
      <c r="F185" s="50"/>
      <c r="G185" s="180"/>
      <c r="H185" s="176"/>
      <c r="I185" s="177">
        <v>0.03</v>
      </c>
      <c r="J185" s="191"/>
      <c r="K185" s="181"/>
      <c r="L185" s="182"/>
      <c r="M185" s="182"/>
      <c r="N185" s="183"/>
      <c r="O185" s="184"/>
      <c r="P185" s="182"/>
      <c r="Q185" s="182"/>
      <c r="R185" s="182"/>
      <c r="S185" s="139">
        <f t="shared" si="88"/>
        <v>4</v>
      </c>
      <c r="T185" s="139"/>
      <c r="U185" s="171"/>
      <c r="V185" s="157"/>
      <c r="W185" s="157"/>
      <c r="X185" s="38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36"/>
      <c r="AL185" s="36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  <c r="AY185" s="29"/>
    </row>
    <row r="186" spans="1:51" x14ac:dyDescent="0.25">
      <c r="A186" s="50"/>
      <c r="B186" s="50"/>
      <c r="C186" s="50"/>
      <c r="D186" s="50"/>
      <c r="E186" s="50"/>
      <c r="F186" s="50"/>
      <c r="G186" s="121">
        <f>G179+2</f>
        <v>43532</v>
      </c>
      <c r="H186" s="13" t="s">
        <v>51</v>
      </c>
      <c r="I186" s="14">
        <v>0.73</v>
      </c>
      <c r="J186" s="190">
        <f t="shared" ref="J186:J191" si="105">S186*I186</f>
        <v>75.92</v>
      </c>
      <c r="K186" s="15">
        <v>3</v>
      </c>
      <c r="L186" s="15">
        <v>6</v>
      </c>
      <c r="M186" s="16"/>
      <c r="N186" s="17"/>
      <c r="O186" s="24">
        <f>S186*N186</f>
        <v>0</v>
      </c>
      <c r="P186" s="15"/>
      <c r="Q186" s="15"/>
      <c r="R186" s="16"/>
      <c r="S186" s="19">
        <f t="shared" si="88"/>
        <v>104</v>
      </c>
      <c r="T186" s="19">
        <f>K186*L186*J186+O186*P186*Q186</f>
        <v>1366.56</v>
      </c>
      <c r="U186" s="18">
        <f t="shared" ref="U186:U191" si="106">K186*L186+P186*Q186</f>
        <v>18</v>
      </c>
      <c r="V186" s="123">
        <f>T186+T187+T188+T189+T190+T191</f>
        <v>7767.3799999999992</v>
      </c>
      <c r="W186" s="144">
        <f>U186+U187+U188+U189+U190+U191</f>
        <v>133</v>
      </c>
      <c r="X186" s="38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J186" s="36"/>
      <c r="AK186" s="36"/>
      <c r="AL186" s="36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  <c r="AY186" s="29"/>
    </row>
    <row r="187" spans="1:51" x14ac:dyDescent="0.25">
      <c r="A187" s="50"/>
      <c r="B187" s="50"/>
      <c r="C187" s="50"/>
      <c r="D187" s="50"/>
      <c r="E187" s="50"/>
      <c r="F187" s="50"/>
      <c r="G187" s="30"/>
      <c r="H187" s="13" t="s">
        <v>52</v>
      </c>
      <c r="I187" s="14">
        <v>0.73</v>
      </c>
      <c r="J187" s="190">
        <f t="shared" si="105"/>
        <v>97.82</v>
      </c>
      <c r="K187" s="15">
        <v>2</v>
      </c>
      <c r="L187" s="15">
        <v>5</v>
      </c>
      <c r="M187" s="16"/>
      <c r="N187" s="17">
        <v>0.85</v>
      </c>
      <c r="O187" s="24">
        <f t="shared" ref="O187:O191" si="107">S187*N187</f>
        <v>113.89999999999999</v>
      </c>
      <c r="P187" s="15">
        <v>3</v>
      </c>
      <c r="Q187" s="15">
        <v>3</v>
      </c>
      <c r="R187" s="16"/>
      <c r="S187" s="19">
        <f t="shared" si="88"/>
        <v>134</v>
      </c>
      <c r="T187" s="19">
        <f t="shared" ref="T187:T191" si="108">K187*L187*J187+O187*P187*Q187</f>
        <v>2003.2999999999997</v>
      </c>
      <c r="U187" s="18">
        <f t="shared" si="106"/>
        <v>19</v>
      </c>
      <c r="V187" s="25"/>
      <c r="W187" s="26"/>
      <c r="X187" s="38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  <c r="AY187" s="29"/>
    </row>
    <row r="188" spans="1:51" x14ac:dyDescent="0.25">
      <c r="A188" s="50"/>
      <c r="B188" s="50"/>
      <c r="C188" s="50"/>
      <c r="D188" s="50"/>
      <c r="E188" s="50"/>
      <c r="F188" s="50"/>
      <c r="G188" s="30"/>
      <c r="H188" s="13" t="s">
        <v>53</v>
      </c>
      <c r="I188" s="14">
        <v>0.73</v>
      </c>
      <c r="J188" s="190">
        <f t="shared" si="105"/>
        <v>35.769999999999996</v>
      </c>
      <c r="K188" s="15">
        <v>3</v>
      </c>
      <c r="L188" s="15">
        <v>8</v>
      </c>
      <c r="M188" s="16"/>
      <c r="N188" s="17"/>
      <c r="O188" s="24">
        <f t="shared" si="107"/>
        <v>0</v>
      </c>
      <c r="P188" s="15"/>
      <c r="Q188" s="15"/>
      <c r="R188" s="16"/>
      <c r="S188" s="19">
        <f t="shared" si="88"/>
        <v>49</v>
      </c>
      <c r="T188" s="19">
        <f t="shared" si="108"/>
        <v>858.4799999999999</v>
      </c>
      <c r="U188" s="18">
        <f t="shared" si="106"/>
        <v>24</v>
      </c>
      <c r="V188" s="25"/>
      <c r="W188" s="26"/>
      <c r="X188" s="38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36"/>
      <c r="AL188" s="36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  <c r="AY188" s="29"/>
    </row>
    <row r="189" spans="1:51" x14ac:dyDescent="0.25">
      <c r="A189" s="50"/>
      <c r="B189" s="50"/>
      <c r="C189" s="50"/>
      <c r="D189" s="50"/>
      <c r="E189" s="50"/>
      <c r="F189" s="50"/>
      <c r="G189" s="30"/>
      <c r="H189" s="13" t="s">
        <v>54</v>
      </c>
      <c r="I189" s="14">
        <v>0.73</v>
      </c>
      <c r="J189" s="190">
        <f t="shared" si="105"/>
        <v>46.72</v>
      </c>
      <c r="K189" s="15">
        <v>3</v>
      </c>
      <c r="L189" s="15">
        <v>8</v>
      </c>
      <c r="M189" s="16"/>
      <c r="N189" s="17"/>
      <c r="O189" s="24">
        <f t="shared" si="107"/>
        <v>0</v>
      </c>
      <c r="P189" s="15"/>
      <c r="Q189" s="15"/>
      <c r="R189" s="16"/>
      <c r="S189" s="19">
        <f t="shared" si="88"/>
        <v>64</v>
      </c>
      <c r="T189" s="19">
        <f t="shared" si="108"/>
        <v>1121.28</v>
      </c>
      <c r="U189" s="18">
        <f t="shared" si="106"/>
        <v>24</v>
      </c>
      <c r="V189" s="25"/>
      <c r="W189" s="26"/>
      <c r="X189" s="38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36"/>
      <c r="AL189" s="36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  <c r="AY189" s="29"/>
    </row>
    <row r="190" spans="1:51" x14ac:dyDescent="0.25">
      <c r="A190" s="50"/>
      <c r="B190" s="50"/>
      <c r="C190" s="50"/>
      <c r="D190" s="50"/>
      <c r="E190" s="50"/>
      <c r="F190" s="50"/>
      <c r="G190" s="30"/>
      <c r="H190" s="13" t="s">
        <v>55</v>
      </c>
      <c r="I190" s="14">
        <v>0.73</v>
      </c>
      <c r="J190" s="190">
        <f t="shared" si="105"/>
        <v>46.72</v>
      </c>
      <c r="K190" s="15">
        <v>3</v>
      </c>
      <c r="L190" s="15">
        <v>8</v>
      </c>
      <c r="M190" s="16"/>
      <c r="N190" s="17"/>
      <c r="O190" s="24">
        <f t="shared" si="107"/>
        <v>0</v>
      </c>
      <c r="P190" s="15"/>
      <c r="Q190" s="15"/>
      <c r="R190" s="16"/>
      <c r="S190" s="19">
        <f t="shared" si="88"/>
        <v>64</v>
      </c>
      <c r="T190" s="19">
        <f t="shared" si="108"/>
        <v>1121.28</v>
      </c>
      <c r="U190" s="18">
        <f t="shared" si="106"/>
        <v>24</v>
      </c>
      <c r="V190" s="25"/>
      <c r="W190" s="26"/>
      <c r="X190" s="38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36"/>
      <c r="AL190" s="36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  <c r="AY190" s="29"/>
    </row>
    <row r="191" spans="1:51" ht="15" customHeight="1" x14ac:dyDescent="0.25">
      <c r="A191" s="50"/>
      <c r="B191" s="50"/>
      <c r="C191" s="50"/>
      <c r="D191" s="50"/>
      <c r="E191" s="50"/>
      <c r="F191" s="50"/>
      <c r="G191" s="158"/>
      <c r="H191" s="13" t="s">
        <v>56</v>
      </c>
      <c r="I191" s="14">
        <v>0.73</v>
      </c>
      <c r="J191" s="190">
        <f t="shared" si="105"/>
        <v>54.019999999999996</v>
      </c>
      <c r="K191" s="15">
        <v>3</v>
      </c>
      <c r="L191" s="15">
        <v>8</v>
      </c>
      <c r="M191" s="16"/>
      <c r="N191" s="17"/>
      <c r="O191" s="24">
        <f t="shared" si="107"/>
        <v>0</v>
      </c>
      <c r="P191" s="15"/>
      <c r="Q191" s="15"/>
      <c r="R191" s="16"/>
      <c r="S191" s="19">
        <f t="shared" si="88"/>
        <v>74</v>
      </c>
      <c r="T191" s="19">
        <f t="shared" si="108"/>
        <v>1296.48</v>
      </c>
      <c r="U191" s="18">
        <f t="shared" si="106"/>
        <v>24</v>
      </c>
      <c r="V191" s="127"/>
      <c r="W191" s="146"/>
      <c r="X191" s="38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36"/>
      <c r="AL191" s="36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  <c r="AY191" s="29"/>
    </row>
    <row r="192" spans="1:51" ht="15" customHeight="1" x14ac:dyDescent="0.25">
      <c r="A192" s="50"/>
      <c r="B192" s="50"/>
      <c r="C192" s="50"/>
      <c r="D192" s="50"/>
      <c r="E192" s="50"/>
      <c r="F192" s="50"/>
      <c r="G192" s="112" t="s">
        <v>63</v>
      </c>
      <c r="H192" s="113"/>
      <c r="I192" s="113"/>
      <c r="J192" s="186"/>
      <c r="K192" s="113"/>
      <c r="L192" s="113"/>
      <c r="M192" s="113"/>
      <c r="N192" s="113"/>
      <c r="O192" s="113"/>
      <c r="P192" s="113"/>
      <c r="Q192" s="113"/>
      <c r="R192" s="113"/>
      <c r="S192" s="113">
        <f t="shared" si="88"/>
        <v>4</v>
      </c>
      <c r="T192" s="113"/>
      <c r="U192" s="113"/>
      <c r="V192" s="114">
        <f>V193+V200+V207</f>
        <v>26479.214999999997</v>
      </c>
      <c r="W192" s="114">
        <f>W193+W200+W207</f>
        <v>535</v>
      </c>
      <c r="X192" s="115">
        <f>Таблица1[[#This Row],[.11]]/Таблица1[[#This Row],[Column1]]</f>
        <v>49.493859813084107</v>
      </c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36"/>
      <c r="AL192" s="36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  <c r="AY192" s="29"/>
    </row>
    <row r="193" spans="1:51" x14ac:dyDescent="0.25">
      <c r="A193" s="50"/>
      <c r="B193" s="50"/>
      <c r="C193" s="50"/>
      <c r="D193" s="50"/>
      <c r="E193" s="50"/>
      <c r="F193" s="50"/>
      <c r="G193" s="121">
        <f>G186+3</f>
        <v>43535</v>
      </c>
      <c r="H193" s="13" t="s">
        <v>40</v>
      </c>
      <c r="I193" s="14">
        <v>0.48000000000000004</v>
      </c>
      <c r="J193" s="192">
        <f t="shared" ref="J193:J198" si="109">S193*I193</f>
        <v>74.160000000000011</v>
      </c>
      <c r="K193" s="15">
        <v>3</v>
      </c>
      <c r="L193" s="15">
        <v>8</v>
      </c>
      <c r="M193" s="16"/>
      <c r="N193" s="17">
        <v>0.6</v>
      </c>
      <c r="O193" s="164">
        <f>S193*N193</f>
        <v>92.7</v>
      </c>
      <c r="P193" s="15">
        <v>2</v>
      </c>
      <c r="Q193" s="15">
        <v>3</v>
      </c>
      <c r="R193" s="16"/>
      <c r="S193" s="19">
        <f t="shared" si="88"/>
        <v>154.5</v>
      </c>
      <c r="T193" s="19">
        <f>K193*L193*J193+O193*P193*Q193</f>
        <v>2336.04</v>
      </c>
      <c r="U193" s="18">
        <f>K193*L193+P193*Q193</f>
        <v>30</v>
      </c>
      <c r="V193" s="123">
        <f>T193+T194+T195+T196+T197+T198</f>
        <v>9915.7799999999988</v>
      </c>
      <c r="W193" s="124">
        <f>U193+U194+U195+U196+U197+U198</f>
        <v>184</v>
      </c>
      <c r="X193" s="80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36"/>
      <c r="AL193" s="36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  <c r="AY193" s="29"/>
    </row>
    <row r="194" spans="1:51" x14ac:dyDescent="0.25">
      <c r="A194" s="50"/>
      <c r="B194" s="50"/>
      <c r="C194" s="50"/>
      <c r="D194" s="50"/>
      <c r="E194" s="50"/>
      <c r="F194" s="50"/>
      <c r="G194" s="30"/>
      <c r="H194" s="13" t="s">
        <v>41</v>
      </c>
      <c r="I194" s="23">
        <v>0.48000000000000004</v>
      </c>
      <c r="J194" s="196">
        <f t="shared" si="109"/>
        <v>66.960000000000008</v>
      </c>
      <c r="K194" s="15">
        <v>3</v>
      </c>
      <c r="L194" s="15">
        <v>8</v>
      </c>
      <c r="M194" s="16"/>
      <c r="N194" s="17">
        <v>0.6</v>
      </c>
      <c r="O194" s="24">
        <f t="shared" ref="O194:O198" si="110">S194*N194</f>
        <v>83.7</v>
      </c>
      <c r="P194" s="15">
        <v>2</v>
      </c>
      <c r="Q194" s="15">
        <v>5</v>
      </c>
      <c r="R194" s="16"/>
      <c r="S194" s="19">
        <f t="shared" si="88"/>
        <v>139.5</v>
      </c>
      <c r="T194" s="19">
        <f t="shared" ref="T194:T198" si="111">K194*L194*J194+O194*P194*Q194</f>
        <v>2444.04</v>
      </c>
      <c r="U194" s="18">
        <f t="shared" ref="U194:U198" si="112">K194*L194+P194*Q194</f>
        <v>34</v>
      </c>
      <c r="V194" s="25"/>
      <c r="W194" s="49"/>
      <c r="X194" s="80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36"/>
      <c r="AL194" s="36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  <c r="AY194" s="29"/>
    </row>
    <row r="195" spans="1:51" x14ac:dyDescent="0.25">
      <c r="A195" s="50"/>
      <c r="B195" s="50"/>
      <c r="C195" s="50"/>
      <c r="D195" s="50"/>
      <c r="E195" s="50"/>
      <c r="F195" s="50"/>
      <c r="G195" s="125"/>
      <c r="H195" s="13" t="s">
        <v>42</v>
      </c>
      <c r="I195" s="14">
        <v>0.53</v>
      </c>
      <c r="J195" s="197">
        <f t="shared" si="109"/>
        <v>60.685000000000002</v>
      </c>
      <c r="K195" s="15">
        <v>3</v>
      </c>
      <c r="L195" s="15">
        <v>10</v>
      </c>
      <c r="M195" s="16"/>
      <c r="N195" s="17"/>
      <c r="O195" s="106">
        <f t="shared" si="110"/>
        <v>0</v>
      </c>
      <c r="P195" s="15"/>
      <c r="Q195" s="15"/>
      <c r="R195" s="16"/>
      <c r="S195" s="19">
        <f t="shared" si="88"/>
        <v>114.5</v>
      </c>
      <c r="T195" s="19">
        <f t="shared" si="111"/>
        <v>1820.5500000000002</v>
      </c>
      <c r="U195" s="18">
        <f t="shared" si="112"/>
        <v>30</v>
      </c>
      <c r="V195" s="25"/>
      <c r="W195" s="49"/>
      <c r="X195" s="80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36"/>
      <c r="AL195" s="36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</row>
    <row r="196" spans="1:51" x14ac:dyDescent="0.25">
      <c r="A196" s="50"/>
      <c r="B196" s="50"/>
      <c r="C196" s="50"/>
      <c r="D196" s="50"/>
      <c r="E196" s="50"/>
      <c r="F196" s="50"/>
      <c r="G196" s="22"/>
      <c r="H196" s="13" t="s">
        <v>43</v>
      </c>
      <c r="I196" s="14">
        <v>0.53</v>
      </c>
      <c r="J196" s="196">
        <f t="shared" si="109"/>
        <v>44.785000000000004</v>
      </c>
      <c r="K196" s="15">
        <v>3</v>
      </c>
      <c r="L196" s="15">
        <v>10</v>
      </c>
      <c r="M196" s="16"/>
      <c r="N196" s="17"/>
      <c r="O196" s="165">
        <f t="shared" si="110"/>
        <v>0</v>
      </c>
      <c r="P196" s="15"/>
      <c r="Q196" s="15"/>
      <c r="R196" s="16"/>
      <c r="S196" s="19">
        <f t="shared" si="88"/>
        <v>84.5</v>
      </c>
      <c r="T196" s="19">
        <f t="shared" si="111"/>
        <v>1343.5500000000002</v>
      </c>
      <c r="U196" s="18">
        <f t="shared" si="112"/>
        <v>30</v>
      </c>
      <c r="V196" s="25"/>
      <c r="W196" s="49"/>
      <c r="X196" s="80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36"/>
      <c r="AL196" s="36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  <c r="AY196" s="29"/>
    </row>
    <row r="197" spans="1:51" x14ac:dyDescent="0.25">
      <c r="A197" s="50"/>
      <c r="B197" s="50"/>
      <c r="C197" s="50"/>
      <c r="D197" s="50"/>
      <c r="E197" s="50"/>
      <c r="F197" s="50"/>
      <c r="G197" s="22"/>
      <c r="H197" s="13" t="s">
        <v>44</v>
      </c>
      <c r="I197" s="17">
        <v>0.53</v>
      </c>
      <c r="J197" s="197">
        <f t="shared" si="109"/>
        <v>28.885000000000002</v>
      </c>
      <c r="K197" s="15">
        <v>3</v>
      </c>
      <c r="L197" s="15">
        <v>10</v>
      </c>
      <c r="M197" s="16"/>
      <c r="N197" s="17"/>
      <c r="O197" s="166">
        <f t="shared" si="110"/>
        <v>0</v>
      </c>
      <c r="P197" s="15"/>
      <c r="Q197" s="15"/>
      <c r="R197" s="16"/>
      <c r="S197" s="19">
        <f t="shared" si="88"/>
        <v>54.5</v>
      </c>
      <c r="T197" s="19">
        <f t="shared" si="111"/>
        <v>866.55000000000007</v>
      </c>
      <c r="U197" s="18">
        <f t="shared" si="112"/>
        <v>30</v>
      </c>
      <c r="V197" s="25"/>
      <c r="W197" s="49"/>
      <c r="X197" s="80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36"/>
      <c r="AL197" s="36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  <c r="AY197" s="29"/>
    </row>
    <row r="198" spans="1:51" x14ac:dyDescent="0.25">
      <c r="A198" s="50"/>
      <c r="B198" s="50"/>
      <c r="C198" s="50"/>
      <c r="D198" s="50"/>
      <c r="E198" s="50"/>
      <c r="F198" s="50"/>
      <c r="G198" s="126"/>
      <c r="H198" s="13" t="s">
        <v>45</v>
      </c>
      <c r="I198" s="17">
        <v>0.53</v>
      </c>
      <c r="J198" s="190">
        <f t="shared" si="109"/>
        <v>36.835000000000001</v>
      </c>
      <c r="K198" s="15">
        <v>3</v>
      </c>
      <c r="L198" s="15">
        <v>10</v>
      </c>
      <c r="M198" s="16"/>
      <c r="N198" s="17"/>
      <c r="O198" s="24">
        <f t="shared" si="110"/>
        <v>0</v>
      </c>
      <c r="P198" s="15"/>
      <c r="Q198" s="15"/>
      <c r="R198" s="16"/>
      <c r="S198" s="19">
        <f t="shared" si="88"/>
        <v>69.5</v>
      </c>
      <c r="T198" s="19">
        <f t="shared" si="111"/>
        <v>1105.05</v>
      </c>
      <c r="U198" s="18">
        <f t="shared" si="112"/>
        <v>30</v>
      </c>
      <c r="V198" s="127"/>
      <c r="W198" s="128"/>
      <c r="X198" s="80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36"/>
      <c r="AL198" s="36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  <c r="AY198" s="29"/>
    </row>
    <row r="199" spans="1:51" ht="15" customHeight="1" x14ac:dyDescent="0.25">
      <c r="A199" s="50"/>
      <c r="B199" s="50"/>
      <c r="C199" s="50"/>
      <c r="D199" s="50"/>
      <c r="E199" s="50"/>
      <c r="F199" s="50"/>
      <c r="G199" s="153"/>
      <c r="H199" s="167"/>
      <c r="I199" s="179">
        <v>0.03</v>
      </c>
      <c r="J199" s="191"/>
      <c r="K199" s="137"/>
      <c r="L199" s="136"/>
      <c r="M199" s="136"/>
      <c r="N199" s="134"/>
      <c r="O199" s="135"/>
      <c r="P199" s="136"/>
      <c r="Q199" s="136"/>
      <c r="R199" s="136"/>
      <c r="S199" s="169">
        <f t="shared" si="88"/>
        <v>4.5</v>
      </c>
      <c r="T199" s="170"/>
      <c r="U199" s="171"/>
      <c r="V199" s="172"/>
      <c r="W199" s="173"/>
      <c r="X199" s="80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36"/>
      <c r="AL199" s="36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  <c r="AY199" s="29"/>
    </row>
    <row r="200" spans="1:51" x14ac:dyDescent="0.25">
      <c r="A200" s="50"/>
      <c r="B200" s="50"/>
      <c r="C200" s="50"/>
      <c r="D200" s="50"/>
      <c r="E200" s="50"/>
      <c r="F200" s="50"/>
      <c r="G200" s="143">
        <f>G193+2</f>
        <v>43537</v>
      </c>
      <c r="H200" s="13" t="s">
        <v>46</v>
      </c>
      <c r="I200" s="14">
        <v>0.48000000000000004</v>
      </c>
      <c r="J200" s="192">
        <f t="shared" ref="J200" si="113">S200*I200</f>
        <v>69.36</v>
      </c>
      <c r="K200" s="15">
        <v>3</v>
      </c>
      <c r="L200" s="15">
        <v>8</v>
      </c>
      <c r="M200" s="16"/>
      <c r="N200" s="17"/>
      <c r="O200" s="24"/>
      <c r="P200" s="15"/>
      <c r="Q200" s="15"/>
      <c r="R200" s="16"/>
      <c r="S200" s="19">
        <f t="shared" si="88"/>
        <v>144.5</v>
      </c>
      <c r="T200" s="19">
        <f>K200*L200*J200+O200*P200*Q200</f>
        <v>1664.6399999999999</v>
      </c>
      <c r="U200" s="18">
        <f>K200*L200+P200*Q200</f>
        <v>24</v>
      </c>
      <c r="V200" s="123">
        <f>T200+T201+T202+T203+T204+T205</f>
        <v>9541.3649999999998</v>
      </c>
      <c r="W200" s="144">
        <f>U200+U201+U202+U203+U204+U205</f>
        <v>179</v>
      </c>
      <c r="X200" s="80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36"/>
      <c r="AL200" s="36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  <c r="AY200" s="29"/>
    </row>
    <row r="201" spans="1:51" x14ac:dyDescent="0.25">
      <c r="A201" s="50"/>
      <c r="B201" s="50"/>
      <c r="C201" s="50"/>
      <c r="D201" s="50"/>
      <c r="E201" s="50"/>
      <c r="F201" s="50"/>
      <c r="G201" s="22"/>
      <c r="H201" s="13" t="s">
        <v>47</v>
      </c>
      <c r="I201" s="174">
        <v>0.53</v>
      </c>
      <c r="J201" s="192">
        <f>S201*I201</f>
        <v>50.085000000000001</v>
      </c>
      <c r="K201" s="15">
        <v>3</v>
      </c>
      <c r="L201" s="15">
        <v>5</v>
      </c>
      <c r="M201" s="16"/>
      <c r="N201" s="17">
        <v>0.6</v>
      </c>
      <c r="O201" s="24">
        <f t="shared" ref="O201:O205" si="114">S201*N201</f>
        <v>56.699999999999996</v>
      </c>
      <c r="P201" s="15">
        <v>2</v>
      </c>
      <c r="Q201" s="15">
        <v>5</v>
      </c>
      <c r="R201" s="16"/>
      <c r="S201" s="19">
        <f t="shared" si="88"/>
        <v>94.5</v>
      </c>
      <c r="T201" s="19">
        <f>K201*L201*J201+O201*P201*Q201</f>
        <v>1318.2750000000001</v>
      </c>
      <c r="U201" s="18">
        <f t="shared" ref="U201:U205" si="115">K201*L201+P201*Q201</f>
        <v>25</v>
      </c>
      <c r="V201" s="25"/>
      <c r="W201" s="26"/>
      <c r="X201" s="80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36"/>
      <c r="AL201" s="36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  <c r="AY201" s="29"/>
    </row>
    <row r="202" spans="1:51" x14ac:dyDescent="0.25">
      <c r="A202" s="50"/>
      <c r="B202" s="50"/>
      <c r="C202" s="50"/>
      <c r="D202" s="50"/>
      <c r="E202" s="50"/>
      <c r="F202" s="50"/>
      <c r="G202" s="22"/>
      <c r="H202" s="13" t="s">
        <v>41</v>
      </c>
      <c r="I202" s="14">
        <v>0.48000000000000004</v>
      </c>
      <c r="J202" s="190">
        <f t="shared" ref="J202:J205" si="116">S202*I202</f>
        <v>66.960000000000008</v>
      </c>
      <c r="K202" s="15">
        <v>3</v>
      </c>
      <c r="L202" s="15">
        <v>10</v>
      </c>
      <c r="M202" s="16"/>
      <c r="N202" s="17">
        <v>0.6</v>
      </c>
      <c r="O202" s="24">
        <f t="shared" si="114"/>
        <v>83.7</v>
      </c>
      <c r="P202" s="15">
        <v>2</v>
      </c>
      <c r="Q202" s="15">
        <v>5</v>
      </c>
      <c r="R202" s="16"/>
      <c r="S202" s="19">
        <f t="shared" si="88"/>
        <v>139.5</v>
      </c>
      <c r="T202" s="19">
        <f t="shared" ref="T202:T205" si="117">K202*L202*J202+O202*P202*Q202</f>
        <v>2845.8</v>
      </c>
      <c r="U202" s="18">
        <f t="shared" si="115"/>
        <v>40</v>
      </c>
      <c r="V202" s="25"/>
      <c r="W202" s="26"/>
      <c r="X202" s="80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36"/>
      <c r="AL202" s="36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  <c r="AY202" s="29"/>
    </row>
    <row r="203" spans="1:51" x14ac:dyDescent="0.25">
      <c r="A203" s="50"/>
      <c r="B203" s="50"/>
      <c r="C203" s="50"/>
      <c r="D203" s="50"/>
      <c r="E203" s="50"/>
      <c r="F203" s="50"/>
      <c r="G203" s="22"/>
      <c r="H203" s="13" t="s">
        <v>48</v>
      </c>
      <c r="I203" s="14">
        <v>0.53</v>
      </c>
      <c r="J203" s="190">
        <f t="shared" si="116"/>
        <v>65.984999999999999</v>
      </c>
      <c r="K203" s="15">
        <v>3</v>
      </c>
      <c r="L203" s="15">
        <v>10</v>
      </c>
      <c r="M203" s="16"/>
      <c r="N203" s="17"/>
      <c r="O203" s="24">
        <f t="shared" si="114"/>
        <v>0</v>
      </c>
      <c r="P203" s="15"/>
      <c r="Q203" s="15"/>
      <c r="R203" s="16"/>
      <c r="S203" s="19">
        <f t="shared" si="88"/>
        <v>124.5</v>
      </c>
      <c r="T203" s="19">
        <f t="shared" si="117"/>
        <v>1979.55</v>
      </c>
      <c r="U203" s="18">
        <f t="shared" si="115"/>
        <v>30</v>
      </c>
      <c r="V203" s="25"/>
      <c r="W203" s="26"/>
      <c r="X203" s="80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  <c r="AY203" s="29"/>
    </row>
    <row r="204" spans="1:51" x14ac:dyDescent="0.25">
      <c r="A204" s="50"/>
      <c r="B204" s="50"/>
      <c r="C204" s="50"/>
      <c r="D204" s="50"/>
      <c r="E204" s="50"/>
      <c r="F204" s="50"/>
      <c r="G204" s="22"/>
      <c r="H204" s="13" t="s">
        <v>49</v>
      </c>
      <c r="I204" s="17">
        <v>0.53</v>
      </c>
      <c r="J204" s="190">
        <f t="shared" si="116"/>
        <v>34.185000000000002</v>
      </c>
      <c r="K204" s="15">
        <v>3</v>
      </c>
      <c r="L204" s="15">
        <v>10</v>
      </c>
      <c r="M204" s="16"/>
      <c r="N204" s="17"/>
      <c r="O204" s="24">
        <f t="shared" si="114"/>
        <v>0</v>
      </c>
      <c r="P204" s="15"/>
      <c r="Q204" s="15"/>
      <c r="R204" s="16"/>
      <c r="S204" s="19">
        <f t="shared" si="88"/>
        <v>64.5</v>
      </c>
      <c r="T204" s="19">
        <f t="shared" si="117"/>
        <v>1025.5500000000002</v>
      </c>
      <c r="U204" s="18">
        <f t="shared" si="115"/>
        <v>30</v>
      </c>
      <c r="V204" s="25"/>
      <c r="W204" s="26"/>
      <c r="X204" s="80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  <c r="AY204" s="29"/>
    </row>
    <row r="205" spans="1:51" x14ac:dyDescent="0.25">
      <c r="A205" s="50"/>
      <c r="B205" s="50"/>
      <c r="C205" s="50"/>
      <c r="D205" s="50"/>
      <c r="E205" s="50"/>
      <c r="F205" s="50"/>
      <c r="G205" s="126"/>
      <c r="H205" s="13" t="s">
        <v>50</v>
      </c>
      <c r="I205" s="17">
        <v>0.53</v>
      </c>
      <c r="J205" s="190">
        <f t="shared" si="116"/>
        <v>23.585000000000001</v>
      </c>
      <c r="K205" s="15">
        <v>3</v>
      </c>
      <c r="L205" s="15">
        <v>10</v>
      </c>
      <c r="M205" s="16"/>
      <c r="N205" s="17"/>
      <c r="O205" s="24">
        <f t="shared" si="114"/>
        <v>0</v>
      </c>
      <c r="P205" s="15"/>
      <c r="Q205" s="15"/>
      <c r="R205" s="16"/>
      <c r="S205" s="19">
        <f t="shared" si="88"/>
        <v>44.5</v>
      </c>
      <c r="T205" s="19">
        <f t="shared" si="117"/>
        <v>707.55000000000007</v>
      </c>
      <c r="U205" s="18">
        <f t="shared" si="115"/>
        <v>30</v>
      </c>
      <c r="V205" s="127"/>
      <c r="W205" s="146"/>
      <c r="X205" s="80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  <c r="AY205" s="29"/>
    </row>
    <row r="206" spans="1:51" ht="15" customHeight="1" x14ac:dyDescent="0.25">
      <c r="A206" s="50"/>
      <c r="B206" s="50"/>
      <c r="C206" s="50"/>
      <c r="D206" s="50"/>
      <c r="E206" s="50"/>
      <c r="F206" s="50"/>
      <c r="G206" s="175"/>
      <c r="H206" s="176"/>
      <c r="I206" s="177">
        <v>0.03</v>
      </c>
      <c r="J206" s="191"/>
      <c r="K206" s="181"/>
      <c r="L206" s="182"/>
      <c r="M206" s="182"/>
      <c r="N206" s="183"/>
      <c r="O206" s="184"/>
      <c r="P206" s="182"/>
      <c r="Q206" s="182"/>
      <c r="R206" s="182"/>
      <c r="S206" s="169">
        <f t="shared" si="88"/>
        <v>4.5</v>
      </c>
      <c r="T206" s="139"/>
      <c r="U206" s="140"/>
      <c r="V206" s="141"/>
      <c r="W206" s="142"/>
      <c r="X206" s="80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36"/>
      <c r="AL206" s="36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  <c r="AX206" s="29"/>
      <c r="AY206" s="29"/>
    </row>
    <row r="207" spans="1:51" x14ac:dyDescent="0.25">
      <c r="A207" s="50"/>
      <c r="B207" s="50"/>
      <c r="C207" s="50"/>
      <c r="D207" s="50"/>
      <c r="E207" s="50"/>
      <c r="F207" s="50"/>
      <c r="G207" s="121">
        <f>G200+2</f>
        <v>43539</v>
      </c>
      <c r="H207" s="13" t="s">
        <v>51</v>
      </c>
      <c r="I207" s="14">
        <v>0.53</v>
      </c>
      <c r="J207" s="190">
        <f t="shared" ref="J207:J212" si="118">S207*I207</f>
        <v>55.385000000000005</v>
      </c>
      <c r="K207" s="15">
        <v>3</v>
      </c>
      <c r="L207" s="15">
        <v>8</v>
      </c>
      <c r="M207" s="16"/>
      <c r="N207" s="17"/>
      <c r="O207" s="24">
        <f t="shared" ref="O207:O212" si="119">S207*N207</f>
        <v>0</v>
      </c>
      <c r="P207" s="15"/>
      <c r="Q207" s="15"/>
      <c r="R207" s="16"/>
      <c r="S207" s="19">
        <f t="shared" si="88"/>
        <v>104.5</v>
      </c>
      <c r="T207" s="19">
        <f>K207*L207*J207+O207*P207*Q207</f>
        <v>1329.2400000000002</v>
      </c>
      <c r="U207" s="18">
        <f>K207*L207+P207*Q207</f>
        <v>24</v>
      </c>
      <c r="V207" s="123">
        <f>T207+T208+T209+T210+T211+T212</f>
        <v>7022.0700000000006</v>
      </c>
      <c r="W207" s="144">
        <f>U207+U208+U209+U210+U211+U212</f>
        <v>172</v>
      </c>
      <c r="X207" s="80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36"/>
      <c r="AL207" s="36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  <c r="AX207" s="29"/>
      <c r="AY207" s="29"/>
    </row>
    <row r="208" spans="1:51" x14ac:dyDescent="0.25">
      <c r="A208" s="50"/>
      <c r="B208" s="50"/>
      <c r="C208" s="50"/>
      <c r="D208" s="50"/>
      <c r="E208" s="50"/>
      <c r="F208" s="50"/>
      <c r="G208" s="22"/>
      <c r="H208" s="13" t="s">
        <v>52</v>
      </c>
      <c r="I208" s="23">
        <v>0.53</v>
      </c>
      <c r="J208" s="190">
        <f t="shared" si="118"/>
        <v>71.284999999999997</v>
      </c>
      <c r="K208" s="15">
        <v>3</v>
      </c>
      <c r="L208" s="15">
        <v>6</v>
      </c>
      <c r="M208" s="16"/>
      <c r="N208" s="17"/>
      <c r="O208" s="24">
        <f t="shared" si="119"/>
        <v>0</v>
      </c>
      <c r="P208" s="15"/>
      <c r="Q208" s="15"/>
      <c r="R208" s="16"/>
      <c r="S208" s="19">
        <f t="shared" si="88"/>
        <v>134.5</v>
      </c>
      <c r="T208" s="19">
        <f t="shared" ref="T208:T212" si="120">K208*L208*J208+O208*P208*Q208</f>
        <v>1283.1299999999999</v>
      </c>
      <c r="U208" s="18">
        <f t="shared" ref="U208:U212" si="121">K208*L208+P208*Q208</f>
        <v>18</v>
      </c>
      <c r="V208" s="25"/>
      <c r="W208" s="26"/>
      <c r="X208" s="80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36"/>
      <c r="AL208" s="36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  <c r="AX208" s="29"/>
      <c r="AY208" s="29"/>
    </row>
    <row r="209" spans="1:51" x14ac:dyDescent="0.25">
      <c r="A209" s="50"/>
      <c r="B209" s="50"/>
      <c r="C209" s="50"/>
      <c r="D209" s="50"/>
      <c r="E209" s="50"/>
      <c r="F209" s="50"/>
      <c r="G209" s="22"/>
      <c r="H209" s="13" t="s">
        <v>53</v>
      </c>
      <c r="I209" s="14">
        <v>0.53</v>
      </c>
      <c r="J209" s="190">
        <f t="shared" si="118"/>
        <v>26.235000000000003</v>
      </c>
      <c r="K209" s="15">
        <v>3</v>
      </c>
      <c r="L209" s="15">
        <v>10</v>
      </c>
      <c r="M209" s="16"/>
      <c r="N209" s="17"/>
      <c r="O209" s="24">
        <f t="shared" si="119"/>
        <v>0</v>
      </c>
      <c r="P209" s="15"/>
      <c r="Q209" s="15"/>
      <c r="R209" s="16"/>
      <c r="S209" s="19">
        <f t="shared" si="88"/>
        <v>49.5</v>
      </c>
      <c r="T209" s="19">
        <f t="shared" si="120"/>
        <v>787.05000000000007</v>
      </c>
      <c r="U209" s="18">
        <f t="shared" si="121"/>
        <v>30</v>
      </c>
      <c r="V209" s="25"/>
      <c r="W209" s="26"/>
      <c r="X209" s="80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36"/>
      <c r="AL209" s="36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  <c r="AX209" s="29"/>
      <c r="AY209" s="29"/>
    </row>
    <row r="210" spans="1:51" x14ac:dyDescent="0.25">
      <c r="A210" s="50"/>
      <c r="B210" s="50"/>
      <c r="C210" s="50"/>
      <c r="D210" s="50"/>
      <c r="E210" s="50"/>
      <c r="F210" s="50"/>
      <c r="G210" s="22"/>
      <c r="H210" s="13" t="s">
        <v>54</v>
      </c>
      <c r="I210" s="14">
        <v>0.53</v>
      </c>
      <c r="J210" s="190">
        <f t="shared" si="118"/>
        <v>34.185000000000002</v>
      </c>
      <c r="K210" s="15">
        <v>3</v>
      </c>
      <c r="L210" s="15">
        <v>10</v>
      </c>
      <c r="M210" s="16"/>
      <c r="N210" s="17"/>
      <c r="O210" s="24">
        <f t="shared" si="119"/>
        <v>0</v>
      </c>
      <c r="P210" s="15"/>
      <c r="Q210" s="15"/>
      <c r="R210" s="16"/>
      <c r="S210" s="19">
        <f t="shared" si="88"/>
        <v>64.5</v>
      </c>
      <c r="T210" s="19">
        <f t="shared" si="120"/>
        <v>1025.5500000000002</v>
      </c>
      <c r="U210" s="18">
        <f t="shared" si="121"/>
        <v>30</v>
      </c>
      <c r="V210" s="25"/>
      <c r="W210" s="26"/>
      <c r="X210" s="80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  <c r="AX210" s="29"/>
      <c r="AY210" s="29"/>
    </row>
    <row r="211" spans="1:51" x14ac:dyDescent="0.25">
      <c r="A211" s="50"/>
      <c r="B211" s="50"/>
      <c r="C211" s="50"/>
      <c r="D211" s="50"/>
      <c r="E211" s="50"/>
      <c r="F211" s="50"/>
      <c r="G211" s="22"/>
      <c r="H211" s="13" t="s">
        <v>55</v>
      </c>
      <c r="I211" s="17">
        <v>0.53</v>
      </c>
      <c r="J211" s="190">
        <f t="shared" si="118"/>
        <v>34.185000000000002</v>
      </c>
      <c r="K211" s="15">
        <v>3</v>
      </c>
      <c r="L211" s="15">
        <v>10</v>
      </c>
      <c r="M211" s="16"/>
      <c r="N211" s="17">
        <v>0.6</v>
      </c>
      <c r="O211" s="24">
        <f t="shared" si="119"/>
        <v>38.699999999999996</v>
      </c>
      <c r="P211" s="15">
        <v>2</v>
      </c>
      <c r="Q211" s="15">
        <v>5</v>
      </c>
      <c r="R211" s="16"/>
      <c r="S211" s="19">
        <f t="shared" si="88"/>
        <v>64.5</v>
      </c>
      <c r="T211" s="19">
        <f t="shared" si="120"/>
        <v>1412.5500000000002</v>
      </c>
      <c r="U211" s="18">
        <f t="shared" si="121"/>
        <v>40</v>
      </c>
      <c r="V211" s="25"/>
      <c r="W211" s="26"/>
      <c r="X211" s="80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J211" s="36"/>
      <c r="AK211" s="36"/>
      <c r="AL211" s="36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  <c r="AX211" s="29"/>
      <c r="AY211" s="29"/>
    </row>
    <row r="212" spans="1:51" ht="15" customHeight="1" x14ac:dyDescent="0.25">
      <c r="A212" s="50"/>
      <c r="B212" s="50"/>
      <c r="C212" s="50"/>
      <c r="D212" s="50"/>
      <c r="E212" s="50"/>
      <c r="F212" s="50"/>
      <c r="G212" s="126"/>
      <c r="H212" s="13" t="s">
        <v>56</v>
      </c>
      <c r="I212" s="17">
        <v>0.53</v>
      </c>
      <c r="J212" s="190">
        <f t="shared" si="118"/>
        <v>39.484999999999999</v>
      </c>
      <c r="K212" s="15">
        <v>3</v>
      </c>
      <c r="L212" s="15">
        <v>10</v>
      </c>
      <c r="M212" s="16"/>
      <c r="N212" s="17"/>
      <c r="O212" s="24">
        <f t="shared" si="119"/>
        <v>0</v>
      </c>
      <c r="P212" s="15"/>
      <c r="Q212" s="15"/>
      <c r="R212" s="16"/>
      <c r="S212" s="19">
        <f t="shared" si="88"/>
        <v>74.5</v>
      </c>
      <c r="T212" s="19">
        <f t="shared" si="120"/>
        <v>1184.55</v>
      </c>
      <c r="U212" s="18">
        <f t="shared" si="121"/>
        <v>30</v>
      </c>
      <c r="V212" s="127"/>
      <c r="W212" s="146"/>
      <c r="X212" s="80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36"/>
      <c r="AL212" s="36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  <c r="AX212" s="29"/>
      <c r="AY212" s="29"/>
    </row>
    <row r="213" spans="1:51" ht="15" customHeight="1" x14ac:dyDescent="0.25">
      <c r="A213" s="50"/>
      <c r="B213" s="50"/>
      <c r="C213" s="50"/>
      <c r="D213" s="50"/>
      <c r="E213" s="50"/>
      <c r="F213" s="50"/>
      <c r="G213" s="150" t="s">
        <v>64</v>
      </c>
      <c r="H213" s="151"/>
      <c r="I213" s="151">
        <v>0.04</v>
      </c>
      <c r="J213" s="194"/>
      <c r="K213" s="151"/>
      <c r="L213" s="151"/>
      <c r="M213" s="151"/>
      <c r="N213" s="151"/>
      <c r="O213" s="151"/>
      <c r="P213" s="151"/>
      <c r="Q213" s="151"/>
      <c r="R213" s="151"/>
      <c r="S213" s="152">
        <f t="shared" si="88"/>
        <v>4.5</v>
      </c>
      <c r="T213" s="151"/>
      <c r="U213" s="151"/>
      <c r="V213" s="114">
        <f>V214+V221+V228</f>
        <v>29463.5</v>
      </c>
      <c r="W213" s="114">
        <f>W214+W221+W228</f>
        <v>459</v>
      </c>
      <c r="X213" s="115">
        <f>V213/W213</f>
        <v>64.190631808278866</v>
      </c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J213" s="36"/>
      <c r="AK213" s="36"/>
      <c r="AL213" s="36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29"/>
      <c r="AY213" s="29"/>
    </row>
    <row r="214" spans="1:51" x14ac:dyDescent="0.25">
      <c r="A214" s="50"/>
      <c r="B214" s="50"/>
      <c r="C214" s="50"/>
      <c r="D214" s="50"/>
      <c r="E214" s="50"/>
      <c r="F214" s="50"/>
      <c r="G214" s="121">
        <f>G207+3</f>
        <v>43542</v>
      </c>
      <c r="H214" s="13" t="s">
        <v>40</v>
      </c>
      <c r="I214" s="14">
        <v>0.64000000000000012</v>
      </c>
      <c r="J214" s="190">
        <f t="shared" ref="J214:J219" si="122">S214*I214</f>
        <v>99.200000000000017</v>
      </c>
      <c r="K214" s="15">
        <v>3</v>
      </c>
      <c r="L214" s="15">
        <v>5</v>
      </c>
      <c r="M214" s="16"/>
      <c r="N214" s="17">
        <v>0.7</v>
      </c>
      <c r="O214" s="24">
        <f>S214*N214</f>
        <v>108.5</v>
      </c>
      <c r="P214" s="15">
        <v>3</v>
      </c>
      <c r="Q214" s="15">
        <v>5</v>
      </c>
      <c r="R214" s="16"/>
      <c r="S214" s="19">
        <f t="shared" si="88"/>
        <v>155</v>
      </c>
      <c r="T214" s="19">
        <f>K214*L214*J214+O214*P214*Q214</f>
        <v>3115.5</v>
      </c>
      <c r="U214" s="18">
        <f>K214*L214+P214*Q214</f>
        <v>30</v>
      </c>
      <c r="V214" s="123">
        <f>T214+T215+T216+T217+T218+T219</f>
        <v>11368.5</v>
      </c>
      <c r="W214" s="144">
        <f>U214+U215+U216+U217+U218+U219</f>
        <v>165</v>
      </c>
      <c r="X214" s="37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J214" s="36"/>
      <c r="AK214" s="36"/>
      <c r="AL214" s="36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  <c r="AX214" s="29"/>
      <c r="AY214" s="29"/>
    </row>
    <row r="215" spans="1:51" x14ac:dyDescent="0.25">
      <c r="A215" s="50"/>
      <c r="B215" s="50"/>
      <c r="C215" s="50"/>
      <c r="D215" s="50"/>
      <c r="E215" s="50"/>
      <c r="F215" s="50"/>
      <c r="G215" s="22"/>
      <c r="H215" s="13" t="s">
        <v>41</v>
      </c>
      <c r="I215" s="14">
        <v>0.64000000000000012</v>
      </c>
      <c r="J215" s="190">
        <f t="shared" si="122"/>
        <v>89.600000000000023</v>
      </c>
      <c r="K215" s="15">
        <v>3</v>
      </c>
      <c r="L215" s="15">
        <v>5</v>
      </c>
      <c r="M215" s="16"/>
      <c r="N215" s="17">
        <v>0.7</v>
      </c>
      <c r="O215" s="24">
        <f t="shared" ref="O215:O219" si="123">S215*N215</f>
        <v>98</v>
      </c>
      <c r="P215" s="15">
        <v>3</v>
      </c>
      <c r="Q215" s="15">
        <v>5</v>
      </c>
      <c r="R215" s="16"/>
      <c r="S215" s="19">
        <f t="shared" si="88"/>
        <v>140</v>
      </c>
      <c r="T215" s="19">
        <f t="shared" ref="T215:T219" si="124">K215*L215*J215+O215*P215*Q215</f>
        <v>2814.0000000000005</v>
      </c>
      <c r="U215" s="18">
        <f t="shared" ref="U215:U219" si="125">K215*L215+P215*Q215</f>
        <v>30</v>
      </c>
      <c r="V215" s="25"/>
      <c r="W215" s="26"/>
      <c r="X215" s="37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36"/>
      <c r="AL215" s="36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  <c r="AX215" s="29"/>
      <c r="AY215" s="29"/>
    </row>
    <row r="216" spans="1:51" x14ac:dyDescent="0.25">
      <c r="A216" s="50"/>
      <c r="B216" s="50"/>
      <c r="C216" s="50"/>
      <c r="D216" s="50"/>
      <c r="E216" s="50"/>
      <c r="F216" s="50"/>
      <c r="G216" s="22"/>
      <c r="H216" s="13" t="s">
        <v>42</v>
      </c>
      <c r="I216" s="14">
        <v>0.64000000000000012</v>
      </c>
      <c r="J216" s="190">
        <f t="shared" si="122"/>
        <v>73.600000000000009</v>
      </c>
      <c r="K216" s="15">
        <v>5</v>
      </c>
      <c r="L216" s="15">
        <v>5</v>
      </c>
      <c r="M216" s="16"/>
      <c r="N216" s="17"/>
      <c r="O216" s="24">
        <f t="shared" si="123"/>
        <v>0</v>
      </c>
      <c r="P216" s="15"/>
      <c r="Q216" s="15"/>
      <c r="R216" s="16"/>
      <c r="S216" s="19">
        <f t="shared" si="88"/>
        <v>115</v>
      </c>
      <c r="T216" s="19">
        <f t="shared" si="124"/>
        <v>1840.0000000000002</v>
      </c>
      <c r="U216" s="18">
        <f t="shared" si="125"/>
        <v>25</v>
      </c>
      <c r="V216" s="25"/>
      <c r="W216" s="26"/>
      <c r="X216" s="37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36"/>
      <c r="AL216" s="36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  <c r="AX216" s="29"/>
      <c r="AY216" s="29"/>
    </row>
    <row r="217" spans="1:51" x14ac:dyDescent="0.25">
      <c r="A217" s="50"/>
      <c r="B217" s="50"/>
      <c r="C217" s="50"/>
      <c r="D217" s="50"/>
      <c r="E217" s="50"/>
      <c r="F217" s="50"/>
      <c r="G217" s="22"/>
      <c r="H217" s="13" t="s">
        <v>43</v>
      </c>
      <c r="I217" s="14">
        <v>0.64000000000000012</v>
      </c>
      <c r="J217" s="190">
        <f t="shared" si="122"/>
        <v>54.400000000000013</v>
      </c>
      <c r="K217" s="15">
        <v>5</v>
      </c>
      <c r="L217" s="15">
        <v>5</v>
      </c>
      <c r="M217" s="16"/>
      <c r="N217" s="17"/>
      <c r="O217" s="24">
        <f t="shared" si="123"/>
        <v>0</v>
      </c>
      <c r="P217" s="15"/>
      <c r="Q217" s="15"/>
      <c r="R217" s="16"/>
      <c r="S217" s="19">
        <f t="shared" ref="S217:S254" si="126">S196+0.5</f>
        <v>85</v>
      </c>
      <c r="T217" s="19">
        <f t="shared" si="124"/>
        <v>1360.0000000000002</v>
      </c>
      <c r="U217" s="18">
        <f t="shared" si="125"/>
        <v>25</v>
      </c>
      <c r="V217" s="25"/>
      <c r="W217" s="26"/>
      <c r="X217" s="37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36"/>
      <c r="AL217" s="36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  <c r="AX217" s="29"/>
      <c r="AY217" s="29"/>
    </row>
    <row r="218" spans="1:51" x14ac:dyDescent="0.25">
      <c r="A218" s="50"/>
      <c r="B218" s="50"/>
      <c r="C218" s="50"/>
      <c r="D218" s="50"/>
      <c r="E218" s="50"/>
      <c r="F218" s="50"/>
      <c r="G218" s="22"/>
      <c r="H218" s="13" t="s">
        <v>44</v>
      </c>
      <c r="I218" s="14">
        <v>0.64000000000000012</v>
      </c>
      <c r="J218" s="190">
        <f t="shared" si="122"/>
        <v>35.20000000000001</v>
      </c>
      <c r="K218" s="15">
        <v>3</v>
      </c>
      <c r="L218" s="15">
        <v>10</v>
      </c>
      <c r="M218" s="16"/>
      <c r="N218" s="17"/>
      <c r="O218" s="24">
        <f t="shared" si="123"/>
        <v>0</v>
      </c>
      <c r="P218" s="15"/>
      <c r="Q218" s="15"/>
      <c r="R218" s="16"/>
      <c r="S218" s="19">
        <f t="shared" si="126"/>
        <v>55</v>
      </c>
      <c r="T218" s="19">
        <f t="shared" si="124"/>
        <v>1056.0000000000002</v>
      </c>
      <c r="U218" s="18">
        <f t="shared" si="125"/>
        <v>30</v>
      </c>
      <c r="V218" s="25"/>
      <c r="W218" s="26"/>
      <c r="X218" s="37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36"/>
      <c r="AL218" s="36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  <c r="AX218" s="29"/>
      <c r="AY218" s="29"/>
    </row>
    <row r="219" spans="1:51" x14ac:dyDescent="0.25">
      <c r="A219" s="50"/>
      <c r="B219" s="50"/>
      <c r="C219" s="50"/>
      <c r="D219" s="50"/>
      <c r="E219" s="50"/>
      <c r="F219" s="50"/>
      <c r="G219" s="126"/>
      <c r="H219" s="13" t="s">
        <v>45</v>
      </c>
      <c r="I219" s="14">
        <v>0.64000000000000012</v>
      </c>
      <c r="J219" s="190">
        <f t="shared" si="122"/>
        <v>44.800000000000011</v>
      </c>
      <c r="K219" s="15">
        <v>1</v>
      </c>
      <c r="L219" s="15">
        <v>10</v>
      </c>
      <c r="M219" s="16"/>
      <c r="N219" s="17">
        <v>0.7</v>
      </c>
      <c r="O219" s="24">
        <f t="shared" si="123"/>
        <v>49</v>
      </c>
      <c r="P219" s="15">
        <v>3</v>
      </c>
      <c r="Q219" s="15">
        <v>5</v>
      </c>
      <c r="R219" s="16"/>
      <c r="S219" s="19">
        <f t="shared" si="126"/>
        <v>70</v>
      </c>
      <c r="T219" s="19">
        <f t="shared" si="124"/>
        <v>1183</v>
      </c>
      <c r="U219" s="18">
        <f t="shared" si="125"/>
        <v>25</v>
      </c>
      <c r="V219" s="127"/>
      <c r="W219" s="146"/>
      <c r="X219" s="37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/>
      <c r="AK219" s="36"/>
      <c r="AL219" s="36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  <c r="AX219" s="29"/>
      <c r="AY219" s="29"/>
    </row>
    <row r="220" spans="1:51" ht="15" customHeight="1" x14ac:dyDescent="0.25">
      <c r="A220" s="50"/>
      <c r="B220" s="50"/>
      <c r="C220" s="50"/>
      <c r="D220" s="50"/>
      <c r="E220" s="50"/>
      <c r="F220" s="50"/>
      <c r="G220" s="153"/>
      <c r="H220" s="167"/>
      <c r="I220" s="179">
        <v>0.04</v>
      </c>
      <c r="J220" s="191"/>
      <c r="K220" s="137"/>
      <c r="L220" s="136"/>
      <c r="M220" s="136"/>
      <c r="N220" s="134"/>
      <c r="O220" s="135"/>
      <c r="P220" s="136"/>
      <c r="Q220" s="136"/>
      <c r="R220" s="136"/>
      <c r="S220" s="139">
        <f t="shared" si="126"/>
        <v>5</v>
      </c>
      <c r="T220" s="139"/>
      <c r="U220" s="171"/>
      <c r="V220" s="162"/>
      <c r="W220" s="162"/>
      <c r="X220" s="37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36"/>
      <c r="AL220" s="36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  <c r="AX220" s="29"/>
      <c r="AY220" s="29"/>
    </row>
    <row r="221" spans="1:51" x14ac:dyDescent="0.25">
      <c r="A221" s="50"/>
      <c r="B221" s="50"/>
      <c r="C221" s="50"/>
      <c r="D221" s="50"/>
      <c r="E221" s="50"/>
      <c r="F221" s="50"/>
      <c r="G221" s="121">
        <f>G214+2</f>
        <v>43544</v>
      </c>
      <c r="H221" s="13" t="s">
        <v>46</v>
      </c>
      <c r="I221" s="14">
        <v>0.64000000000000012</v>
      </c>
      <c r="J221" s="190">
        <f t="shared" ref="J221:J226" si="127">S221*I221</f>
        <v>92.800000000000011</v>
      </c>
      <c r="K221" s="15">
        <v>5</v>
      </c>
      <c r="L221" s="15">
        <v>5</v>
      </c>
      <c r="M221" s="16"/>
      <c r="N221" s="17"/>
      <c r="O221" s="24">
        <f>S221*N221</f>
        <v>0</v>
      </c>
      <c r="P221" s="15"/>
      <c r="Q221" s="15"/>
      <c r="R221" s="16"/>
      <c r="S221" s="19">
        <f t="shared" si="126"/>
        <v>145</v>
      </c>
      <c r="T221" s="19">
        <f>K221*L221*J221+O221*P221*Q221</f>
        <v>2320.0000000000005</v>
      </c>
      <c r="U221" s="18">
        <f t="shared" ref="U221:U226" si="128">K221*L221+P221*Q221</f>
        <v>25</v>
      </c>
      <c r="V221" s="123">
        <f>T221+T222+T223+T224+T225+T226</f>
        <v>10401.500000000002</v>
      </c>
      <c r="W221" s="144">
        <f>U221+U222+U223+U224+U225+U226</f>
        <v>155</v>
      </c>
      <c r="X221" s="37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36"/>
      <c r="AL221" s="36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  <c r="AX221" s="29"/>
      <c r="AY221" s="29"/>
    </row>
    <row r="222" spans="1:51" x14ac:dyDescent="0.25">
      <c r="A222" s="50"/>
      <c r="B222" s="50"/>
      <c r="C222" s="50"/>
      <c r="D222" s="50"/>
      <c r="E222" s="50"/>
      <c r="F222" s="50"/>
      <c r="G222" s="30"/>
      <c r="H222" s="13" t="s">
        <v>47</v>
      </c>
      <c r="I222" s="14">
        <v>0.64000000000000012</v>
      </c>
      <c r="J222" s="190">
        <f t="shared" si="127"/>
        <v>60.800000000000011</v>
      </c>
      <c r="K222" s="15">
        <v>5</v>
      </c>
      <c r="L222" s="15">
        <v>5</v>
      </c>
      <c r="M222" s="16"/>
      <c r="N222" s="17"/>
      <c r="O222" s="24">
        <f t="shared" ref="O222:O226" si="129">S222*N222</f>
        <v>0</v>
      </c>
      <c r="P222" s="15"/>
      <c r="Q222" s="15"/>
      <c r="R222" s="16"/>
      <c r="S222" s="19">
        <f t="shared" si="126"/>
        <v>95</v>
      </c>
      <c r="T222" s="19">
        <f t="shared" ref="T222:T226" si="130">K222*L222*J222+O222*P222*Q222</f>
        <v>1520.0000000000002</v>
      </c>
      <c r="U222" s="18">
        <f t="shared" si="128"/>
        <v>25</v>
      </c>
      <c r="V222" s="25"/>
      <c r="W222" s="26"/>
      <c r="X222" s="37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36"/>
      <c r="AL222" s="36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  <c r="AX222" s="29"/>
      <c r="AY222" s="29"/>
    </row>
    <row r="223" spans="1:51" x14ac:dyDescent="0.25">
      <c r="A223" s="50"/>
      <c r="B223" s="50"/>
      <c r="C223" s="50"/>
      <c r="D223" s="50"/>
      <c r="E223" s="50"/>
      <c r="F223" s="50"/>
      <c r="G223" s="30"/>
      <c r="H223" s="13" t="s">
        <v>41</v>
      </c>
      <c r="I223" s="14">
        <v>0.64000000000000012</v>
      </c>
      <c r="J223" s="190">
        <f t="shared" si="127"/>
        <v>89.600000000000023</v>
      </c>
      <c r="K223" s="15">
        <v>3</v>
      </c>
      <c r="L223" s="15">
        <v>5</v>
      </c>
      <c r="M223" s="16"/>
      <c r="N223" s="17">
        <v>0.7</v>
      </c>
      <c r="O223" s="24">
        <f t="shared" si="129"/>
        <v>98</v>
      </c>
      <c r="P223" s="15">
        <v>3</v>
      </c>
      <c r="Q223" s="15">
        <v>5</v>
      </c>
      <c r="R223" s="16"/>
      <c r="S223" s="19">
        <f t="shared" si="126"/>
        <v>140</v>
      </c>
      <c r="T223" s="19">
        <f t="shared" si="130"/>
        <v>2814.0000000000005</v>
      </c>
      <c r="U223" s="18">
        <f t="shared" si="128"/>
        <v>30</v>
      </c>
      <c r="V223" s="25"/>
      <c r="W223" s="26"/>
      <c r="X223" s="37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36"/>
      <c r="AL223" s="36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</row>
    <row r="224" spans="1:51" x14ac:dyDescent="0.25">
      <c r="A224" s="50"/>
      <c r="B224" s="50"/>
      <c r="C224" s="50"/>
      <c r="D224" s="50"/>
      <c r="E224" s="50"/>
      <c r="F224" s="50"/>
      <c r="G224" s="30"/>
      <c r="H224" s="13" t="s">
        <v>48</v>
      </c>
      <c r="I224" s="14">
        <v>0.54</v>
      </c>
      <c r="J224" s="190">
        <f t="shared" si="127"/>
        <v>67.5</v>
      </c>
      <c r="K224" s="15">
        <v>1</v>
      </c>
      <c r="L224" s="15">
        <v>10</v>
      </c>
      <c r="M224" s="16"/>
      <c r="N224" s="17">
        <v>0.7</v>
      </c>
      <c r="O224" s="24">
        <f t="shared" si="129"/>
        <v>87.5</v>
      </c>
      <c r="P224" s="15">
        <v>3</v>
      </c>
      <c r="Q224" s="15">
        <v>5</v>
      </c>
      <c r="R224" s="16"/>
      <c r="S224" s="19">
        <f t="shared" si="126"/>
        <v>125</v>
      </c>
      <c r="T224" s="19">
        <f t="shared" si="130"/>
        <v>1987.5</v>
      </c>
      <c r="U224" s="18">
        <f t="shared" si="128"/>
        <v>25</v>
      </c>
      <c r="V224" s="25"/>
      <c r="W224" s="26"/>
      <c r="X224" s="37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36"/>
      <c r="AL224" s="36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  <c r="AX224" s="29"/>
      <c r="AY224" s="29"/>
    </row>
    <row r="225" spans="1:51" x14ac:dyDescent="0.25">
      <c r="A225" s="50"/>
      <c r="B225" s="50"/>
      <c r="C225" s="50"/>
      <c r="D225" s="50"/>
      <c r="E225" s="50"/>
      <c r="F225" s="50"/>
      <c r="G225" s="30"/>
      <c r="H225" s="13" t="s">
        <v>49</v>
      </c>
      <c r="I225" s="14">
        <v>0.64000000000000012</v>
      </c>
      <c r="J225" s="190">
        <f t="shared" si="127"/>
        <v>41.600000000000009</v>
      </c>
      <c r="K225" s="15">
        <v>5</v>
      </c>
      <c r="L225" s="15">
        <v>5</v>
      </c>
      <c r="M225" s="16"/>
      <c r="N225" s="17"/>
      <c r="O225" s="24">
        <f t="shared" si="129"/>
        <v>0</v>
      </c>
      <c r="P225" s="15"/>
      <c r="Q225" s="15"/>
      <c r="R225" s="16"/>
      <c r="S225" s="19">
        <f t="shared" si="126"/>
        <v>65</v>
      </c>
      <c r="T225" s="19">
        <f t="shared" si="130"/>
        <v>1040.0000000000002</v>
      </c>
      <c r="U225" s="18">
        <f t="shared" si="128"/>
        <v>25</v>
      </c>
      <c r="V225" s="25"/>
      <c r="W225" s="26"/>
      <c r="X225" s="37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36"/>
      <c r="AL225" s="36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  <c r="AX225" s="29"/>
      <c r="AY225" s="29"/>
    </row>
    <row r="226" spans="1:51" x14ac:dyDescent="0.25">
      <c r="A226" s="50"/>
      <c r="B226" s="50"/>
      <c r="C226" s="50"/>
      <c r="D226" s="50"/>
      <c r="E226" s="50"/>
      <c r="F226" s="50"/>
      <c r="G226" s="158"/>
      <c r="H226" s="13" t="s">
        <v>50</v>
      </c>
      <c r="I226" s="14">
        <v>0.64000000000000012</v>
      </c>
      <c r="J226" s="190">
        <f t="shared" si="127"/>
        <v>28.800000000000004</v>
      </c>
      <c r="K226" s="15">
        <v>5</v>
      </c>
      <c r="L226" s="15">
        <v>5</v>
      </c>
      <c r="M226" s="16"/>
      <c r="N226" s="17"/>
      <c r="O226" s="24">
        <f t="shared" si="129"/>
        <v>0</v>
      </c>
      <c r="P226" s="15"/>
      <c r="Q226" s="15"/>
      <c r="R226" s="16"/>
      <c r="S226" s="19">
        <f t="shared" si="126"/>
        <v>45</v>
      </c>
      <c r="T226" s="19">
        <f t="shared" si="130"/>
        <v>720.00000000000011</v>
      </c>
      <c r="U226" s="18">
        <f t="shared" si="128"/>
        <v>25</v>
      </c>
      <c r="V226" s="127"/>
      <c r="W226" s="146"/>
      <c r="X226" s="37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J226" s="36"/>
      <c r="AK226" s="36"/>
      <c r="AL226" s="36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  <c r="AX226" s="29"/>
      <c r="AY226" s="29"/>
    </row>
    <row r="227" spans="1:51" ht="15" customHeight="1" x14ac:dyDescent="0.25">
      <c r="A227" s="50"/>
      <c r="B227" s="50"/>
      <c r="C227" s="50"/>
      <c r="D227" s="50"/>
      <c r="E227" s="50"/>
      <c r="F227" s="50"/>
      <c r="G227" s="180"/>
      <c r="H227" s="176"/>
      <c r="I227" s="177">
        <v>0.04</v>
      </c>
      <c r="J227" s="191"/>
      <c r="K227" s="181"/>
      <c r="L227" s="182"/>
      <c r="M227" s="182"/>
      <c r="N227" s="183" t="s">
        <v>69</v>
      </c>
      <c r="O227" s="184"/>
      <c r="P227" s="182"/>
      <c r="Q227" s="182"/>
      <c r="R227" s="182"/>
      <c r="S227" s="139">
        <f t="shared" si="126"/>
        <v>5</v>
      </c>
      <c r="T227" s="139"/>
      <c r="U227" s="171"/>
      <c r="V227" s="157"/>
      <c r="W227" s="157"/>
      <c r="X227" s="37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  <c r="AX227" s="29"/>
      <c r="AY227" s="29"/>
    </row>
    <row r="228" spans="1:51" x14ac:dyDescent="0.25">
      <c r="A228" s="50"/>
      <c r="B228" s="50"/>
      <c r="C228" s="50"/>
      <c r="D228" s="50"/>
      <c r="E228" s="50"/>
      <c r="F228" s="50"/>
      <c r="G228" s="121">
        <f>G221+2</f>
        <v>43546</v>
      </c>
      <c r="H228" s="13" t="s">
        <v>51</v>
      </c>
      <c r="I228" s="14">
        <v>0.73999999999999988</v>
      </c>
      <c r="J228" s="190">
        <f t="shared" ref="J228:J233" si="131">S228*I228</f>
        <v>77.699999999999989</v>
      </c>
      <c r="K228" s="15">
        <v>3</v>
      </c>
      <c r="L228" s="15">
        <v>5</v>
      </c>
      <c r="M228" s="16"/>
      <c r="N228" s="17"/>
      <c r="O228" s="24">
        <f>S228*N228</f>
        <v>0</v>
      </c>
      <c r="P228" s="15"/>
      <c r="Q228" s="15"/>
      <c r="R228" s="16"/>
      <c r="S228" s="19">
        <f t="shared" si="126"/>
        <v>105</v>
      </c>
      <c r="T228" s="19">
        <f>K228*L228*J228+O228*P228*Q228</f>
        <v>1165.4999999999998</v>
      </c>
      <c r="U228" s="18">
        <f t="shared" ref="U228:U233" si="132">K228*L228+P228*Q228</f>
        <v>15</v>
      </c>
      <c r="V228" s="123">
        <f>T228+T229+T230+T231+T232+T233</f>
        <v>7693.5</v>
      </c>
      <c r="W228" s="144">
        <f>U228+U229+U230+U231+U232+U233</f>
        <v>139</v>
      </c>
      <c r="X228" s="37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  <c r="AX228" s="29"/>
      <c r="AY228" s="29"/>
    </row>
    <row r="229" spans="1:51" x14ac:dyDescent="0.25">
      <c r="A229" s="50"/>
      <c r="B229" s="50"/>
      <c r="C229" s="50"/>
      <c r="D229" s="50"/>
      <c r="E229" s="50"/>
      <c r="F229" s="50"/>
      <c r="G229" s="30"/>
      <c r="H229" s="13" t="s">
        <v>52</v>
      </c>
      <c r="I229" s="14">
        <v>0.64000000000000012</v>
      </c>
      <c r="J229" s="190">
        <f t="shared" si="131"/>
        <v>86.40000000000002</v>
      </c>
      <c r="K229" s="15">
        <v>2</v>
      </c>
      <c r="L229" s="15">
        <v>5</v>
      </c>
      <c r="M229" s="16"/>
      <c r="N229" s="17">
        <v>0.75</v>
      </c>
      <c r="O229" s="24">
        <f t="shared" ref="O229:O233" si="133">S229*N229</f>
        <v>101.25</v>
      </c>
      <c r="P229" s="15">
        <v>3</v>
      </c>
      <c r="Q229" s="15">
        <v>3</v>
      </c>
      <c r="R229" s="16"/>
      <c r="S229" s="19">
        <f t="shared" si="126"/>
        <v>135</v>
      </c>
      <c r="T229" s="19">
        <f t="shared" ref="T229:T233" si="134">K229*L229*J229+O229*P229*Q229</f>
        <v>1775.2500000000002</v>
      </c>
      <c r="U229" s="18">
        <f t="shared" si="132"/>
        <v>19</v>
      </c>
      <c r="V229" s="25"/>
      <c r="W229" s="26"/>
      <c r="X229" s="37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  <c r="AX229" s="29"/>
      <c r="AY229" s="29"/>
    </row>
    <row r="230" spans="1:51" x14ac:dyDescent="0.25">
      <c r="A230" s="50"/>
      <c r="B230" s="50"/>
      <c r="C230" s="50"/>
      <c r="D230" s="50"/>
      <c r="E230" s="50"/>
      <c r="F230" s="50"/>
      <c r="G230" s="30"/>
      <c r="H230" s="13" t="s">
        <v>53</v>
      </c>
      <c r="I230" s="14">
        <v>0.64000000000000012</v>
      </c>
      <c r="J230" s="190">
        <f t="shared" si="131"/>
        <v>32.000000000000007</v>
      </c>
      <c r="K230" s="15">
        <v>5</v>
      </c>
      <c r="L230" s="15">
        <v>5</v>
      </c>
      <c r="M230" s="16"/>
      <c r="N230" s="17"/>
      <c r="O230" s="24">
        <f t="shared" si="133"/>
        <v>0</v>
      </c>
      <c r="P230" s="15"/>
      <c r="Q230" s="15"/>
      <c r="R230" s="16"/>
      <c r="S230" s="19">
        <f t="shared" si="126"/>
        <v>50</v>
      </c>
      <c r="T230" s="19">
        <f t="shared" si="134"/>
        <v>800.00000000000023</v>
      </c>
      <c r="U230" s="18">
        <f t="shared" si="132"/>
        <v>25</v>
      </c>
      <c r="V230" s="25"/>
      <c r="W230" s="26"/>
      <c r="X230" s="37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36"/>
      <c r="AL230" s="36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  <c r="AX230" s="29"/>
      <c r="AY230" s="29"/>
    </row>
    <row r="231" spans="1:51" x14ac:dyDescent="0.25">
      <c r="A231" s="50"/>
      <c r="B231" s="50"/>
      <c r="C231" s="50"/>
      <c r="D231" s="50"/>
      <c r="E231" s="50"/>
      <c r="F231" s="50"/>
      <c r="G231" s="30"/>
      <c r="H231" s="13" t="s">
        <v>54</v>
      </c>
      <c r="I231" s="14">
        <v>0.64000000000000012</v>
      </c>
      <c r="J231" s="190">
        <f t="shared" si="131"/>
        <v>41.600000000000009</v>
      </c>
      <c r="K231" s="15">
        <v>3</v>
      </c>
      <c r="L231" s="15">
        <v>5</v>
      </c>
      <c r="M231" s="16"/>
      <c r="N231" s="17">
        <v>0.7</v>
      </c>
      <c r="O231" s="24">
        <f t="shared" si="133"/>
        <v>45.5</v>
      </c>
      <c r="P231" s="15">
        <v>3</v>
      </c>
      <c r="Q231" s="15">
        <v>5</v>
      </c>
      <c r="R231" s="16"/>
      <c r="S231" s="19">
        <f t="shared" si="126"/>
        <v>65</v>
      </c>
      <c r="T231" s="19">
        <f t="shared" si="134"/>
        <v>1306.5</v>
      </c>
      <c r="U231" s="18">
        <f t="shared" si="132"/>
        <v>30</v>
      </c>
      <c r="V231" s="25"/>
      <c r="W231" s="26"/>
      <c r="X231" s="37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36"/>
      <c r="AL231" s="36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  <c r="AX231" s="29"/>
      <c r="AY231" s="29"/>
    </row>
    <row r="232" spans="1:51" x14ac:dyDescent="0.25">
      <c r="A232" s="50"/>
      <c r="B232" s="50"/>
      <c r="C232" s="50"/>
      <c r="D232" s="50"/>
      <c r="E232" s="50"/>
      <c r="F232" s="50"/>
      <c r="G232" s="30"/>
      <c r="H232" s="13" t="s">
        <v>55</v>
      </c>
      <c r="I232" s="14">
        <v>0.89</v>
      </c>
      <c r="J232" s="190">
        <f t="shared" si="131"/>
        <v>57.85</v>
      </c>
      <c r="K232" s="15">
        <v>5</v>
      </c>
      <c r="L232" s="15">
        <v>5</v>
      </c>
      <c r="M232" s="16"/>
      <c r="N232" s="17"/>
      <c r="O232" s="24">
        <f t="shared" si="133"/>
        <v>0</v>
      </c>
      <c r="P232" s="15"/>
      <c r="Q232" s="15"/>
      <c r="R232" s="16"/>
      <c r="S232" s="19">
        <f t="shared" si="126"/>
        <v>65</v>
      </c>
      <c r="T232" s="19">
        <f t="shared" si="134"/>
        <v>1446.25</v>
      </c>
      <c r="U232" s="18">
        <f t="shared" si="132"/>
        <v>25</v>
      </c>
      <c r="V232" s="25"/>
      <c r="W232" s="26"/>
      <c r="X232" s="37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36"/>
      <c r="AL232" s="36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  <c r="AX232" s="29"/>
      <c r="AY232" s="29"/>
    </row>
    <row r="233" spans="1:51" ht="15" customHeight="1" x14ac:dyDescent="0.25">
      <c r="A233" s="50"/>
      <c r="B233" s="50"/>
      <c r="C233" s="50"/>
      <c r="D233" s="50"/>
      <c r="E233" s="50"/>
      <c r="F233" s="50"/>
      <c r="G233" s="158"/>
      <c r="H233" s="13" t="s">
        <v>56</v>
      </c>
      <c r="I233" s="14">
        <v>0.64000000000000012</v>
      </c>
      <c r="J233" s="190">
        <f t="shared" si="131"/>
        <v>48.000000000000007</v>
      </c>
      <c r="K233" s="15">
        <v>5</v>
      </c>
      <c r="L233" s="15">
        <v>5</v>
      </c>
      <c r="M233" s="16"/>
      <c r="N233" s="17"/>
      <c r="O233" s="24">
        <f t="shared" si="133"/>
        <v>0</v>
      </c>
      <c r="P233" s="15"/>
      <c r="Q233" s="15"/>
      <c r="R233" s="16"/>
      <c r="S233" s="19">
        <f t="shared" si="126"/>
        <v>75</v>
      </c>
      <c r="T233" s="19">
        <f t="shared" si="134"/>
        <v>1200.0000000000002</v>
      </c>
      <c r="U233" s="18">
        <f t="shared" si="132"/>
        <v>25</v>
      </c>
      <c r="V233" s="127"/>
      <c r="W233" s="146"/>
      <c r="X233" s="37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36"/>
      <c r="AL233" s="36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  <c r="AX233" s="29"/>
      <c r="AY233" s="29"/>
    </row>
    <row r="234" spans="1:51" ht="15" customHeight="1" x14ac:dyDescent="0.25">
      <c r="A234" s="50"/>
      <c r="B234" s="50"/>
      <c r="C234" s="50"/>
      <c r="D234" s="50"/>
      <c r="E234" s="50"/>
      <c r="F234" s="50"/>
      <c r="G234" s="150" t="s">
        <v>65</v>
      </c>
      <c r="H234" s="150"/>
      <c r="I234" s="150"/>
      <c r="J234" s="194"/>
      <c r="K234" s="150"/>
      <c r="L234" s="150"/>
      <c r="M234" s="150"/>
      <c r="N234" s="150"/>
      <c r="O234" s="150"/>
      <c r="P234" s="150"/>
      <c r="Q234" s="150"/>
      <c r="R234" s="150"/>
      <c r="S234" s="163">
        <f t="shared" si="126"/>
        <v>5</v>
      </c>
      <c r="T234" s="150"/>
      <c r="U234" s="150"/>
      <c r="V234" s="114">
        <f>V235+V242+V249</f>
        <v>30869.7</v>
      </c>
      <c r="W234" s="114">
        <f>W235+W242+W249</f>
        <v>432</v>
      </c>
      <c r="X234" s="115">
        <f>V234/W234</f>
        <v>71.457638888888894</v>
      </c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36"/>
      <c r="AL234" s="36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  <c r="AX234" s="29"/>
      <c r="AY234" s="29"/>
    </row>
    <row r="235" spans="1:51" x14ac:dyDescent="0.25">
      <c r="A235" s="50"/>
      <c r="B235" s="50"/>
      <c r="C235" s="50"/>
      <c r="D235" s="50"/>
      <c r="E235" s="50"/>
      <c r="F235" s="50"/>
      <c r="G235" s="121">
        <f>G228+3</f>
        <v>43549</v>
      </c>
      <c r="H235" s="13" t="s">
        <v>40</v>
      </c>
      <c r="I235" s="14">
        <v>0.65000000000000013</v>
      </c>
      <c r="J235" s="190">
        <f t="shared" ref="J235:J240" si="135">S235*I235</f>
        <v>101.07500000000002</v>
      </c>
      <c r="K235" s="15">
        <v>3</v>
      </c>
      <c r="L235" s="15">
        <v>5</v>
      </c>
      <c r="M235" s="16"/>
      <c r="N235" s="17">
        <v>0.75</v>
      </c>
      <c r="O235" s="24">
        <f>S235*N235</f>
        <v>116.625</v>
      </c>
      <c r="P235" s="15">
        <v>3</v>
      </c>
      <c r="Q235" s="15">
        <v>3</v>
      </c>
      <c r="R235" s="16"/>
      <c r="S235" s="19">
        <f t="shared" si="126"/>
        <v>155.5</v>
      </c>
      <c r="T235" s="19">
        <f>K235*L235*J235+O235*P235*Q235</f>
        <v>2565.75</v>
      </c>
      <c r="U235" s="18">
        <f>K235*L235+P235*Q235</f>
        <v>24</v>
      </c>
      <c r="V235" s="123">
        <f>T235+T236+T237+T238+T239+T240</f>
        <v>11559.225</v>
      </c>
      <c r="W235" s="144">
        <f>U235+U236+U237+U238+U239+U240</f>
        <v>156</v>
      </c>
      <c r="X235" s="38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36"/>
      <c r="AL235" s="36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  <c r="AX235" s="29"/>
      <c r="AY235" s="29"/>
    </row>
    <row r="236" spans="1:51" x14ac:dyDescent="0.25">
      <c r="A236" s="50"/>
      <c r="B236" s="50"/>
      <c r="C236" s="50"/>
      <c r="D236" s="50"/>
      <c r="E236" s="50"/>
      <c r="F236" s="50"/>
      <c r="G236" s="30"/>
      <c r="H236" s="13" t="s">
        <v>41</v>
      </c>
      <c r="I236" s="14">
        <v>0.70000000000000018</v>
      </c>
      <c r="J236" s="190">
        <f t="shared" si="135"/>
        <v>98.350000000000023</v>
      </c>
      <c r="K236" s="15">
        <v>2</v>
      </c>
      <c r="L236" s="15">
        <v>5</v>
      </c>
      <c r="M236" s="16"/>
      <c r="N236" s="17">
        <v>0.85</v>
      </c>
      <c r="O236" s="24">
        <f t="shared" ref="O236:O240" si="136">S236*N236</f>
        <v>119.425</v>
      </c>
      <c r="P236" s="15">
        <v>5</v>
      </c>
      <c r="Q236" s="15">
        <v>4</v>
      </c>
      <c r="R236" s="16"/>
      <c r="S236" s="19">
        <f t="shared" si="126"/>
        <v>140.5</v>
      </c>
      <c r="T236" s="19">
        <f t="shared" ref="T236:T240" si="137">K236*L236*J236+O236*P236*Q236</f>
        <v>3372</v>
      </c>
      <c r="U236" s="18">
        <f t="shared" ref="U236:U240" si="138">K236*L236+P236*Q236</f>
        <v>30</v>
      </c>
      <c r="V236" s="25"/>
      <c r="W236" s="26"/>
      <c r="X236" s="38"/>
      <c r="Y236" s="36"/>
      <c r="Z236" s="36"/>
      <c r="AA236" s="36"/>
      <c r="AB236" s="36"/>
      <c r="AC236" s="36"/>
      <c r="AD236" s="36"/>
      <c r="AE236" s="36"/>
      <c r="AF236" s="36"/>
      <c r="AG236" s="36" t="s">
        <v>69</v>
      </c>
      <c r="AH236" s="36"/>
      <c r="AI236" s="36"/>
      <c r="AJ236" s="36"/>
      <c r="AK236" s="36"/>
      <c r="AL236" s="36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  <c r="AX236" s="29"/>
      <c r="AY236" s="29"/>
    </row>
    <row r="237" spans="1:51" x14ac:dyDescent="0.25">
      <c r="A237" s="50"/>
      <c r="B237" s="50"/>
      <c r="C237" s="50"/>
      <c r="D237" s="50"/>
      <c r="E237" s="50"/>
      <c r="F237" s="50"/>
      <c r="G237" s="30"/>
      <c r="H237" s="13" t="s">
        <v>42</v>
      </c>
      <c r="I237" s="14">
        <v>0.70000000000000018</v>
      </c>
      <c r="J237" s="190">
        <f t="shared" si="135"/>
        <v>80.850000000000023</v>
      </c>
      <c r="K237" s="15">
        <v>1</v>
      </c>
      <c r="L237" s="15">
        <v>8</v>
      </c>
      <c r="M237" s="16"/>
      <c r="N237" s="17">
        <v>0.7</v>
      </c>
      <c r="O237" s="24">
        <f t="shared" si="136"/>
        <v>80.849999999999994</v>
      </c>
      <c r="P237" s="15">
        <v>3</v>
      </c>
      <c r="Q237" s="15">
        <v>5</v>
      </c>
      <c r="R237" s="16"/>
      <c r="S237" s="19">
        <f t="shared" si="126"/>
        <v>115.5</v>
      </c>
      <c r="T237" s="19">
        <f t="shared" si="137"/>
        <v>1859.5500000000002</v>
      </c>
      <c r="U237" s="18">
        <f t="shared" si="138"/>
        <v>23</v>
      </c>
      <c r="V237" s="25"/>
      <c r="W237" s="26"/>
      <c r="X237" s="38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  <c r="AX237" s="29"/>
      <c r="AY237" s="29"/>
    </row>
    <row r="238" spans="1:51" x14ac:dyDescent="0.25">
      <c r="A238" s="50"/>
      <c r="B238" s="50"/>
      <c r="C238" s="50"/>
      <c r="D238" s="50"/>
      <c r="E238" s="50"/>
      <c r="F238" s="50"/>
      <c r="G238" s="30"/>
      <c r="H238" s="13" t="s">
        <v>43</v>
      </c>
      <c r="I238" s="14">
        <v>0.65000000000000013</v>
      </c>
      <c r="J238" s="190">
        <f t="shared" si="135"/>
        <v>55.57500000000001</v>
      </c>
      <c r="K238" s="15">
        <v>1</v>
      </c>
      <c r="L238" s="15">
        <v>8</v>
      </c>
      <c r="M238" s="16"/>
      <c r="N238" s="17">
        <v>0.7</v>
      </c>
      <c r="O238" s="24">
        <f t="shared" si="136"/>
        <v>59.849999999999994</v>
      </c>
      <c r="P238" s="15">
        <v>3</v>
      </c>
      <c r="Q238" s="15">
        <v>5</v>
      </c>
      <c r="R238" s="16"/>
      <c r="S238" s="19">
        <f t="shared" si="126"/>
        <v>85.5</v>
      </c>
      <c r="T238" s="19">
        <f t="shared" si="137"/>
        <v>1342.35</v>
      </c>
      <c r="U238" s="18">
        <f t="shared" si="138"/>
        <v>23</v>
      </c>
      <c r="V238" s="25"/>
      <c r="W238" s="26"/>
      <c r="X238" s="38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  <c r="AX238" s="29"/>
      <c r="AY238" s="29"/>
    </row>
    <row r="239" spans="1:51" x14ac:dyDescent="0.25">
      <c r="A239" s="50"/>
      <c r="B239" s="50"/>
      <c r="C239" s="50"/>
      <c r="D239" s="50"/>
      <c r="E239" s="50"/>
      <c r="F239" s="50"/>
      <c r="G239" s="30"/>
      <c r="H239" s="13" t="s">
        <v>44</v>
      </c>
      <c r="I239" s="14">
        <v>0.65000000000000013</v>
      </c>
      <c r="J239" s="190">
        <f t="shared" si="135"/>
        <v>36.07500000000001</v>
      </c>
      <c r="K239" s="15">
        <v>1</v>
      </c>
      <c r="L239" s="15">
        <v>8</v>
      </c>
      <c r="M239" s="16"/>
      <c r="N239" s="17">
        <v>0.7</v>
      </c>
      <c r="O239" s="24">
        <f t="shared" si="136"/>
        <v>38.849999999999994</v>
      </c>
      <c r="P239" s="15">
        <v>5</v>
      </c>
      <c r="Q239" s="15">
        <v>5</v>
      </c>
      <c r="R239" s="16"/>
      <c r="S239" s="19">
        <f t="shared" si="126"/>
        <v>55.5</v>
      </c>
      <c r="T239" s="19">
        <f t="shared" si="137"/>
        <v>1259.8499999999999</v>
      </c>
      <c r="U239" s="18">
        <f t="shared" si="138"/>
        <v>33</v>
      </c>
      <c r="V239" s="25"/>
      <c r="W239" s="26"/>
      <c r="X239" s="38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  <c r="AX239" s="29"/>
      <c r="AY239" s="29"/>
    </row>
    <row r="240" spans="1:51" x14ac:dyDescent="0.25">
      <c r="A240" s="50"/>
      <c r="B240" s="50"/>
      <c r="C240" s="50"/>
      <c r="D240" s="50"/>
      <c r="E240" s="50"/>
      <c r="F240" s="50"/>
      <c r="G240" s="158"/>
      <c r="H240" s="13" t="s">
        <v>45</v>
      </c>
      <c r="I240" s="14">
        <v>0.65000000000000013</v>
      </c>
      <c r="J240" s="190">
        <f t="shared" si="135"/>
        <v>45.82500000000001</v>
      </c>
      <c r="K240" s="15">
        <v>1</v>
      </c>
      <c r="L240" s="15">
        <v>8</v>
      </c>
      <c r="M240" s="16"/>
      <c r="N240" s="17">
        <v>0.75</v>
      </c>
      <c r="O240" s="24">
        <f t="shared" si="136"/>
        <v>52.875</v>
      </c>
      <c r="P240" s="15">
        <v>3</v>
      </c>
      <c r="Q240" s="15">
        <v>5</v>
      </c>
      <c r="R240" s="16"/>
      <c r="S240" s="19">
        <f t="shared" si="126"/>
        <v>70.5</v>
      </c>
      <c r="T240" s="19">
        <f t="shared" si="137"/>
        <v>1159.7250000000001</v>
      </c>
      <c r="U240" s="18">
        <f t="shared" si="138"/>
        <v>23</v>
      </c>
      <c r="V240" s="127"/>
      <c r="W240" s="146"/>
      <c r="X240" s="38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  <c r="AX240" s="29"/>
      <c r="AY240" s="29"/>
    </row>
    <row r="241" spans="1:52" ht="15" customHeight="1" x14ac:dyDescent="0.25">
      <c r="A241" s="50"/>
      <c r="B241" s="50"/>
      <c r="C241" s="50"/>
      <c r="D241" s="50"/>
      <c r="E241" s="50"/>
      <c r="F241" s="50"/>
      <c r="G241" s="159"/>
      <c r="H241" s="167"/>
      <c r="I241" s="179">
        <v>0.05</v>
      </c>
      <c r="J241" s="191"/>
      <c r="K241" s="137"/>
      <c r="L241" s="136"/>
      <c r="M241" s="136"/>
      <c r="N241" s="134"/>
      <c r="O241" s="135"/>
      <c r="P241" s="136"/>
      <c r="Q241" s="136"/>
      <c r="R241" s="136"/>
      <c r="S241" s="139">
        <f t="shared" si="126"/>
        <v>5.5</v>
      </c>
      <c r="T241" s="139"/>
      <c r="U241" s="171"/>
      <c r="V241" s="157"/>
      <c r="W241" s="157"/>
      <c r="X241" s="38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  <c r="AX241" s="29"/>
      <c r="AY241" s="29"/>
    </row>
    <row r="242" spans="1:52" x14ac:dyDescent="0.25">
      <c r="A242" s="50"/>
      <c r="B242" s="50"/>
      <c r="C242" s="50"/>
      <c r="D242" s="50"/>
      <c r="E242" s="50"/>
      <c r="F242" s="50"/>
      <c r="G242" s="121">
        <f>G235+2</f>
        <v>43551</v>
      </c>
      <c r="H242" s="13" t="s">
        <v>46</v>
      </c>
      <c r="I242" s="14">
        <v>0.70000000000000018</v>
      </c>
      <c r="J242" s="190">
        <f t="shared" ref="J242:J247" si="139">S242*I242</f>
        <v>101.85000000000002</v>
      </c>
      <c r="K242" s="15">
        <v>2</v>
      </c>
      <c r="L242" s="15">
        <v>8</v>
      </c>
      <c r="M242" s="16"/>
      <c r="N242" s="17">
        <v>0.8</v>
      </c>
      <c r="O242" s="24">
        <f>S242*N242</f>
        <v>116.4</v>
      </c>
      <c r="P242" s="15">
        <v>5</v>
      </c>
      <c r="Q242" s="15">
        <v>5</v>
      </c>
      <c r="R242" s="16"/>
      <c r="S242" s="19">
        <f t="shared" si="126"/>
        <v>145.5</v>
      </c>
      <c r="T242" s="19">
        <f>K242*L242*J242+O242*P242*Q242</f>
        <v>4539.6000000000004</v>
      </c>
      <c r="U242" s="18">
        <f t="shared" ref="U242:U247" si="140">K242*L242+P242*Q242</f>
        <v>41</v>
      </c>
      <c r="V242" s="123">
        <f>T242+T243+T244+T245+T246+T247</f>
        <v>11207.400000000001</v>
      </c>
      <c r="W242" s="144">
        <f>U242+U243+U244+U245+U246+U247</f>
        <v>143</v>
      </c>
      <c r="X242" s="38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J242" s="36"/>
      <c r="AK242" s="36"/>
      <c r="AL242" s="36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  <c r="AX242" s="29"/>
      <c r="AY242" s="29"/>
    </row>
    <row r="243" spans="1:52" x14ac:dyDescent="0.25">
      <c r="A243" s="50"/>
      <c r="B243" s="50"/>
      <c r="C243" s="50"/>
      <c r="D243" s="50"/>
      <c r="E243" s="50"/>
      <c r="F243" s="50"/>
      <c r="G243" s="30"/>
      <c r="H243" s="13" t="s">
        <v>47</v>
      </c>
      <c r="I243" s="14">
        <v>0.75</v>
      </c>
      <c r="J243" s="190">
        <f t="shared" si="139"/>
        <v>71.625</v>
      </c>
      <c r="K243" s="15">
        <v>3</v>
      </c>
      <c r="L243" s="15">
        <v>8</v>
      </c>
      <c r="M243" s="16"/>
      <c r="N243" s="17"/>
      <c r="O243" s="24">
        <f t="shared" ref="O243:O247" si="141">S243*N243</f>
        <v>0</v>
      </c>
      <c r="P243" s="15"/>
      <c r="Q243" s="15"/>
      <c r="R243" s="16"/>
      <c r="S243" s="19">
        <f t="shared" si="126"/>
        <v>95.5</v>
      </c>
      <c r="T243" s="19">
        <f t="shared" ref="T243:T247" si="142">K243*L243*J243+O243*P243*Q243</f>
        <v>1719</v>
      </c>
      <c r="U243" s="18">
        <f t="shared" si="140"/>
        <v>24</v>
      </c>
      <c r="V243" s="25"/>
      <c r="W243" s="26"/>
      <c r="X243" s="38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36"/>
      <c r="AL243" s="36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  <c r="AX243" s="29"/>
      <c r="AY243" s="29"/>
    </row>
    <row r="244" spans="1:52" x14ac:dyDescent="0.25">
      <c r="A244" s="50"/>
      <c r="B244" s="50"/>
      <c r="C244" s="50"/>
      <c r="D244" s="50"/>
      <c r="E244" s="50"/>
      <c r="F244" s="50"/>
      <c r="G244" s="30"/>
      <c r="H244" s="13" t="s">
        <v>41</v>
      </c>
      <c r="I244" s="14">
        <v>0.55000000000000004</v>
      </c>
      <c r="J244" s="190">
        <f t="shared" si="139"/>
        <v>77.275000000000006</v>
      </c>
      <c r="K244" s="15">
        <v>3</v>
      </c>
      <c r="L244" s="15">
        <v>5</v>
      </c>
      <c r="M244" s="16"/>
      <c r="N244" s="17">
        <v>0.65</v>
      </c>
      <c r="O244" s="24">
        <f t="shared" si="141"/>
        <v>91.325000000000003</v>
      </c>
      <c r="P244" s="15">
        <v>3</v>
      </c>
      <c r="Q244" s="15">
        <v>3</v>
      </c>
      <c r="R244" s="16"/>
      <c r="S244" s="19">
        <f t="shared" si="126"/>
        <v>140.5</v>
      </c>
      <c r="T244" s="19">
        <f t="shared" si="142"/>
        <v>1981.0500000000002</v>
      </c>
      <c r="U244" s="18">
        <f t="shared" si="140"/>
        <v>24</v>
      </c>
      <c r="V244" s="25"/>
      <c r="W244" s="26"/>
      <c r="X244" s="38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36"/>
      <c r="AL244" s="36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  <c r="AX244" s="29"/>
      <c r="AY244" s="29"/>
    </row>
    <row r="245" spans="1:52" x14ac:dyDescent="0.25">
      <c r="A245" s="50"/>
      <c r="B245" s="50"/>
      <c r="C245" s="50"/>
      <c r="D245" s="50"/>
      <c r="E245" s="50"/>
      <c r="F245" s="50"/>
      <c r="G245" s="30"/>
      <c r="H245" s="13" t="s">
        <v>48</v>
      </c>
      <c r="I245" s="14">
        <v>0.75</v>
      </c>
      <c r="J245" s="190">
        <f t="shared" si="139"/>
        <v>94.125</v>
      </c>
      <c r="K245" s="15">
        <v>3</v>
      </c>
      <c r="L245" s="15">
        <v>5</v>
      </c>
      <c r="M245" s="16"/>
      <c r="N245" s="17"/>
      <c r="O245" s="24">
        <f t="shared" si="141"/>
        <v>0</v>
      </c>
      <c r="P245" s="15"/>
      <c r="Q245" s="15"/>
      <c r="R245" s="16"/>
      <c r="S245" s="19">
        <f t="shared" si="126"/>
        <v>125.5</v>
      </c>
      <c r="T245" s="19">
        <f t="shared" si="142"/>
        <v>1411.875</v>
      </c>
      <c r="U245" s="18">
        <f t="shared" si="140"/>
        <v>15</v>
      </c>
      <c r="V245" s="25"/>
      <c r="W245" s="26"/>
      <c r="X245" s="38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36"/>
      <c r="AL245" s="36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  <c r="AX245" s="29"/>
      <c r="AY245" s="29"/>
    </row>
    <row r="246" spans="1:52" x14ac:dyDescent="0.25">
      <c r="A246" s="50"/>
      <c r="B246" s="50"/>
      <c r="C246" s="50"/>
      <c r="D246" s="50"/>
      <c r="E246" s="50"/>
      <c r="F246" s="50"/>
      <c r="G246" s="30"/>
      <c r="H246" s="13" t="s">
        <v>49</v>
      </c>
      <c r="I246" s="14">
        <v>0.75</v>
      </c>
      <c r="J246" s="190">
        <f t="shared" si="139"/>
        <v>49.125</v>
      </c>
      <c r="K246" s="15">
        <v>3</v>
      </c>
      <c r="L246" s="15">
        <v>5</v>
      </c>
      <c r="M246" s="16"/>
      <c r="N246" s="17"/>
      <c r="O246" s="24">
        <f t="shared" si="141"/>
        <v>0</v>
      </c>
      <c r="P246" s="15"/>
      <c r="Q246" s="15"/>
      <c r="R246" s="16"/>
      <c r="S246" s="19">
        <f t="shared" si="126"/>
        <v>65.5</v>
      </c>
      <c r="T246" s="19">
        <f t="shared" si="142"/>
        <v>736.875</v>
      </c>
      <c r="U246" s="18">
        <f t="shared" si="140"/>
        <v>15</v>
      </c>
      <c r="V246" s="25"/>
      <c r="W246" s="26"/>
      <c r="X246" s="38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36"/>
      <c r="AL246" s="36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  <c r="AX246" s="29"/>
      <c r="AY246" s="29"/>
    </row>
    <row r="247" spans="1:52" x14ac:dyDescent="0.25">
      <c r="A247" s="50"/>
      <c r="B247" s="50"/>
      <c r="C247" s="50"/>
      <c r="D247" s="50"/>
      <c r="E247" s="50"/>
      <c r="F247" s="50"/>
      <c r="G247" s="158"/>
      <c r="H247" s="13" t="s">
        <v>50</v>
      </c>
      <c r="I247" s="14">
        <v>0.75</v>
      </c>
      <c r="J247" s="190">
        <f t="shared" si="139"/>
        <v>34.125</v>
      </c>
      <c r="K247" s="15">
        <v>3</v>
      </c>
      <c r="L247" s="15">
        <v>8</v>
      </c>
      <c r="M247" s="16"/>
      <c r="N247" s="17"/>
      <c r="O247" s="24">
        <f t="shared" si="141"/>
        <v>0</v>
      </c>
      <c r="P247" s="15"/>
      <c r="Q247" s="15"/>
      <c r="R247" s="16"/>
      <c r="S247" s="19">
        <f t="shared" si="126"/>
        <v>45.5</v>
      </c>
      <c r="T247" s="19">
        <f t="shared" si="142"/>
        <v>819</v>
      </c>
      <c r="U247" s="18">
        <f t="shared" si="140"/>
        <v>24</v>
      </c>
      <c r="V247" s="127"/>
      <c r="W247" s="146"/>
      <c r="X247" s="38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  <c r="AX247" s="29"/>
      <c r="AY247" s="29"/>
    </row>
    <row r="248" spans="1:52" ht="15" customHeight="1" x14ac:dyDescent="0.25">
      <c r="A248" s="50"/>
      <c r="B248" s="50"/>
      <c r="C248" s="50"/>
      <c r="D248" s="50"/>
      <c r="E248" s="50"/>
      <c r="F248" s="50"/>
      <c r="G248" s="180"/>
      <c r="H248" s="176"/>
      <c r="I248" s="177">
        <v>0.05</v>
      </c>
      <c r="J248" s="191"/>
      <c r="K248" s="181"/>
      <c r="L248" s="182"/>
      <c r="M248" s="182"/>
      <c r="N248" s="183"/>
      <c r="O248" s="184"/>
      <c r="P248" s="182"/>
      <c r="Q248" s="182"/>
      <c r="R248" s="182"/>
      <c r="S248" s="139">
        <f t="shared" si="126"/>
        <v>5.5</v>
      </c>
      <c r="T248" s="139"/>
      <c r="U248" s="171"/>
      <c r="V248" s="162"/>
      <c r="W248" s="162"/>
      <c r="X248" s="38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  <c r="AX248" s="29"/>
      <c r="AY248" s="29"/>
    </row>
    <row r="249" spans="1:52" x14ac:dyDescent="0.25">
      <c r="A249" s="50"/>
      <c r="B249" s="50"/>
      <c r="C249" s="50"/>
      <c r="D249" s="50"/>
      <c r="E249" s="50"/>
      <c r="F249" s="50"/>
      <c r="G249" s="121">
        <f>G242+2</f>
        <v>43553</v>
      </c>
      <c r="H249" s="13" t="s">
        <v>51</v>
      </c>
      <c r="I249" s="14">
        <v>0.75</v>
      </c>
      <c r="J249" s="190">
        <f t="shared" ref="J249:J254" si="143">S249*I249</f>
        <v>79.125</v>
      </c>
      <c r="K249" s="15">
        <v>3</v>
      </c>
      <c r="L249" s="15">
        <v>6</v>
      </c>
      <c r="M249" s="16"/>
      <c r="N249" s="17"/>
      <c r="O249" s="24">
        <f>S249*N249</f>
        <v>0</v>
      </c>
      <c r="P249" s="15"/>
      <c r="Q249" s="15"/>
      <c r="R249" s="16"/>
      <c r="S249" s="19">
        <f t="shared" si="126"/>
        <v>105.5</v>
      </c>
      <c r="T249" s="19">
        <f>K249*L249*J249+O249*P249*Q249</f>
        <v>1424.25</v>
      </c>
      <c r="U249" s="18">
        <f t="shared" ref="U249:U254" si="144">K249*L249+P249*Q249</f>
        <v>18</v>
      </c>
      <c r="V249" s="123">
        <f>T249+T250+T251+T252+T253+T254</f>
        <v>8103.0749999999998</v>
      </c>
      <c r="W249" s="144">
        <f>U249+U250+U251+U252+U253+U254</f>
        <v>133</v>
      </c>
      <c r="X249" s="38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36"/>
      <c r="AL249" s="36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  <c r="AX249" s="29"/>
      <c r="AY249" s="29"/>
    </row>
    <row r="250" spans="1:52" x14ac:dyDescent="0.25">
      <c r="A250" s="50"/>
      <c r="B250" s="50"/>
      <c r="C250" s="50"/>
      <c r="D250" s="50"/>
      <c r="E250" s="50"/>
      <c r="F250" s="50"/>
      <c r="G250" s="30"/>
      <c r="H250" s="13" t="s">
        <v>52</v>
      </c>
      <c r="I250" s="14">
        <v>0.75</v>
      </c>
      <c r="J250" s="190">
        <f t="shared" si="143"/>
        <v>101.625</v>
      </c>
      <c r="K250" s="15">
        <v>2</v>
      </c>
      <c r="L250" s="15">
        <v>5</v>
      </c>
      <c r="M250" s="16"/>
      <c r="N250" s="17">
        <v>0.85</v>
      </c>
      <c r="O250" s="24">
        <f t="shared" ref="O250:O254" si="145">S250*N250</f>
        <v>115.175</v>
      </c>
      <c r="P250" s="15">
        <v>3</v>
      </c>
      <c r="Q250" s="15">
        <v>3</v>
      </c>
      <c r="R250" s="16"/>
      <c r="S250" s="19">
        <f t="shared" si="126"/>
        <v>135.5</v>
      </c>
      <c r="T250" s="19">
        <f t="shared" ref="T250:T254" si="146">K250*L250*J250+O250*P250*Q250</f>
        <v>2052.8249999999998</v>
      </c>
      <c r="U250" s="18">
        <f t="shared" si="144"/>
        <v>19</v>
      </c>
      <c r="V250" s="25"/>
      <c r="W250" s="26"/>
      <c r="X250" s="38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  <c r="AX250" s="29"/>
      <c r="AY250" s="29"/>
    </row>
    <row r="251" spans="1:52" x14ac:dyDescent="0.25">
      <c r="A251" s="50"/>
      <c r="B251" s="50"/>
      <c r="C251" s="50"/>
      <c r="D251" s="50"/>
      <c r="E251" s="50"/>
      <c r="F251" s="50"/>
      <c r="G251" s="30"/>
      <c r="H251" s="13" t="s">
        <v>53</v>
      </c>
      <c r="I251" s="14">
        <v>0.75</v>
      </c>
      <c r="J251" s="190">
        <f t="shared" si="143"/>
        <v>37.875</v>
      </c>
      <c r="K251" s="15">
        <v>3</v>
      </c>
      <c r="L251" s="15">
        <v>8</v>
      </c>
      <c r="M251" s="16"/>
      <c r="N251" s="17"/>
      <c r="O251" s="24">
        <f t="shared" si="145"/>
        <v>0</v>
      </c>
      <c r="P251" s="15"/>
      <c r="Q251" s="15"/>
      <c r="R251" s="16"/>
      <c r="S251" s="19">
        <f t="shared" si="126"/>
        <v>50.5</v>
      </c>
      <c r="T251" s="19">
        <f t="shared" si="146"/>
        <v>909</v>
      </c>
      <c r="U251" s="18">
        <f t="shared" si="144"/>
        <v>24</v>
      </c>
      <c r="V251" s="25"/>
      <c r="W251" s="26"/>
      <c r="X251" s="38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  <c r="AX251" s="29"/>
      <c r="AY251" s="29"/>
    </row>
    <row r="252" spans="1:52" x14ac:dyDescent="0.25">
      <c r="A252" s="50"/>
      <c r="B252" s="50"/>
      <c r="C252" s="50"/>
      <c r="D252" s="50"/>
      <c r="E252" s="50"/>
      <c r="F252" s="50"/>
      <c r="G252" s="30"/>
      <c r="H252" s="13" t="s">
        <v>54</v>
      </c>
      <c r="I252" s="14">
        <v>0.75</v>
      </c>
      <c r="J252" s="190">
        <f t="shared" si="143"/>
        <v>49.125</v>
      </c>
      <c r="K252" s="15">
        <v>3</v>
      </c>
      <c r="L252" s="15">
        <v>8</v>
      </c>
      <c r="M252" s="16"/>
      <c r="N252" s="17"/>
      <c r="O252" s="24">
        <f t="shared" si="145"/>
        <v>0</v>
      </c>
      <c r="P252" s="15"/>
      <c r="Q252" s="15"/>
      <c r="R252" s="16"/>
      <c r="S252" s="19">
        <f t="shared" si="126"/>
        <v>65.5</v>
      </c>
      <c r="T252" s="19">
        <f t="shared" si="146"/>
        <v>1179</v>
      </c>
      <c r="U252" s="18">
        <f t="shared" si="144"/>
        <v>24</v>
      </c>
      <c r="V252" s="25"/>
      <c r="W252" s="26"/>
      <c r="X252" s="38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36"/>
      <c r="AL252" s="36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  <c r="AX252" s="29"/>
      <c r="AY252" s="29"/>
    </row>
    <row r="253" spans="1:52" x14ac:dyDescent="0.25">
      <c r="A253" s="50"/>
      <c r="B253" s="50"/>
      <c r="C253" s="50"/>
      <c r="D253" s="50"/>
      <c r="E253" s="50"/>
      <c r="F253" s="50"/>
      <c r="G253" s="30"/>
      <c r="H253" s="13" t="s">
        <v>55</v>
      </c>
      <c r="I253" s="14">
        <v>0.75</v>
      </c>
      <c r="J253" s="190">
        <f t="shared" si="143"/>
        <v>49.125</v>
      </c>
      <c r="K253" s="15">
        <v>3</v>
      </c>
      <c r="L253" s="15">
        <v>8</v>
      </c>
      <c r="M253" s="16"/>
      <c r="N253" s="17"/>
      <c r="O253" s="24">
        <f t="shared" si="145"/>
        <v>0</v>
      </c>
      <c r="P253" s="15"/>
      <c r="Q253" s="15"/>
      <c r="R253" s="16"/>
      <c r="S253" s="19">
        <f t="shared" si="126"/>
        <v>65.5</v>
      </c>
      <c r="T253" s="19">
        <f t="shared" si="146"/>
        <v>1179</v>
      </c>
      <c r="U253" s="18">
        <f t="shared" si="144"/>
        <v>24</v>
      </c>
      <c r="V253" s="25"/>
      <c r="W253" s="26"/>
      <c r="X253" s="38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  <c r="AX253" s="29"/>
      <c r="AY253" s="29"/>
    </row>
    <row r="254" spans="1:52" x14ac:dyDescent="0.25">
      <c r="A254" s="50"/>
      <c r="B254" s="50"/>
      <c r="C254" s="50"/>
      <c r="D254" s="50"/>
      <c r="E254" s="50"/>
      <c r="F254" s="50"/>
      <c r="G254" s="158"/>
      <c r="H254" s="13" t="s">
        <v>56</v>
      </c>
      <c r="I254" s="14">
        <v>0.75</v>
      </c>
      <c r="J254" s="190">
        <f t="shared" si="143"/>
        <v>56.625</v>
      </c>
      <c r="K254" s="15">
        <v>3</v>
      </c>
      <c r="L254" s="15">
        <v>8</v>
      </c>
      <c r="M254" s="16"/>
      <c r="N254" s="17"/>
      <c r="O254" s="24">
        <f t="shared" si="145"/>
        <v>0</v>
      </c>
      <c r="P254" s="15"/>
      <c r="Q254" s="15"/>
      <c r="R254" s="16"/>
      <c r="S254" s="19">
        <f t="shared" si="126"/>
        <v>75.5</v>
      </c>
      <c r="T254" s="19">
        <f t="shared" si="146"/>
        <v>1359</v>
      </c>
      <c r="U254" s="18">
        <f t="shared" si="144"/>
        <v>24</v>
      </c>
      <c r="V254" s="127"/>
      <c r="W254" s="146"/>
      <c r="X254" s="38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  <c r="AX254" s="29"/>
      <c r="AY254" s="29"/>
    </row>
    <row r="255" spans="1:52" x14ac:dyDescent="0.25">
      <c r="A255" s="29"/>
      <c r="B255" s="29"/>
      <c r="C255" s="29"/>
      <c r="D255" s="29"/>
      <c r="E255" s="29"/>
      <c r="F255" s="29"/>
      <c r="G255" s="29"/>
      <c r="H255" s="29"/>
      <c r="I255" s="29"/>
      <c r="J255" s="198"/>
      <c r="K255" s="29"/>
      <c r="L255" s="29"/>
      <c r="M255" s="29"/>
      <c r="N255" s="29"/>
      <c r="O255" s="29"/>
      <c r="P255" s="29"/>
      <c r="Q255" s="29"/>
      <c r="R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29"/>
      <c r="AY255" s="29"/>
      <c r="AZ255" s="29"/>
    </row>
    <row r="256" spans="1:52" x14ac:dyDescent="0.25">
      <c r="A256" s="29"/>
      <c r="B256" s="29"/>
      <c r="C256" s="29"/>
      <c r="D256" s="29"/>
      <c r="E256" s="29"/>
      <c r="F256" s="29"/>
      <c r="G256" s="29"/>
      <c r="H256" s="29"/>
      <c r="I256" s="29"/>
      <c r="J256" s="198"/>
      <c r="K256" s="29"/>
      <c r="L256" s="29"/>
      <c r="M256" s="29"/>
      <c r="N256" s="29"/>
      <c r="O256" s="29"/>
      <c r="P256" s="29"/>
      <c r="Q256" s="29"/>
      <c r="R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29"/>
      <c r="AY256" s="29"/>
      <c r="AZ256" s="29"/>
    </row>
    <row r="257" spans="1:52" x14ac:dyDescent="0.25">
      <c r="A257" s="29"/>
      <c r="B257" s="29"/>
      <c r="C257" s="29"/>
      <c r="D257" s="29"/>
      <c r="E257" s="29"/>
      <c r="F257" s="29"/>
      <c r="G257" s="29"/>
      <c r="H257" s="29"/>
      <c r="I257" s="29"/>
      <c r="J257" s="198"/>
      <c r="K257" s="29"/>
      <c r="L257" s="29"/>
      <c r="M257" s="29"/>
      <c r="N257" s="29"/>
      <c r="O257" s="29"/>
      <c r="P257" s="29"/>
      <c r="Q257" s="29"/>
      <c r="R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  <c r="AX257" s="29"/>
      <c r="AY257" s="29"/>
      <c r="AZ257" s="29"/>
    </row>
    <row r="258" spans="1:52" x14ac:dyDescent="0.25">
      <c r="A258" s="29"/>
      <c r="B258" s="29"/>
      <c r="C258" s="29"/>
      <c r="D258" s="29"/>
      <c r="E258" s="29"/>
      <c r="F258" s="29"/>
      <c r="G258" s="29"/>
      <c r="H258" s="29"/>
      <c r="I258" s="29"/>
      <c r="J258" s="198"/>
      <c r="K258" s="29"/>
      <c r="L258" s="29"/>
      <c r="M258" s="29"/>
      <c r="N258" s="29"/>
      <c r="O258" s="29"/>
      <c r="P258" s="29"/>
      <c r="Q258" s="29"/>
      <c r="R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  <c r="AX258" s="29"/>
      <c r="AY258" s="29"/>
      <c r="AZ258" s="29"/>
    </row>
    <row r="259" spans="1:52" x14ac:dyDescent="0.25">
      <c r="A259" s="29"/>
      <c r="B259" s="29"/>
      <c r="C259" s="29"/>
      <c r="D259" s="29"/>
      <c r="E259" s="29"/>
      <c r="F259" s="29"/>
      <c r="G259" s="29"/>
      <c r="H259" s="29"/>
      <c r="I259" s="29"/>
      <c r="J259" s="198"/>
      <c r="K259" s="29"/>
      <c r="L259" s="29"/>
      <c r="M259" s="29"/>
      <c r="N259" s="29"/>
      <c r="O259" s="29"/>
      <c r="P259" s="29"/>
      <c r="Q259" s="29"/>
      <c r="R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  <c r="AX259" s="29"/>
      <c r="AY259" s="29"/>
      <c r="AZ259" s="29"/>
    </row>
    <row r="260" spans="1:52" x14ac:dyDescent="0.25">
      <c r="A260" s="29"/>
      <c r="B260" s="29"/>
      <c r="C260" s="29"/>
      <c r="D260" s="29"/>
      <c r="E260" s="29"/>
      <c r="F260" s="29"/>
      <c r="G260" s="29"/>
      <c r="H260" s="29"/>
      <c r="I260" s="29"/>
      <c r="J260" s="198"/>
      <c r="K260" s="29"/>
      <c r="L260" s="29"/>
      <c r="M260" s="29"/>
      <c r="N260" s="29"/>
      <c r="O260" s="29"/>
      <c r="P260" s="29"/>
      <c r="Q260" s="29"/>
      <c r="R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  <c r="AX260" s="29"/>
      <c r="AY260" s="29"/>
      <c r="AZ260" s="29"/>
    </row>
    <row r="261" spans="1:52" x14ac:dyDescent="0.25">
      <c r="A261" s="29"/>
      <c r="B261" s="29"/>
      <c r="C261" s="29"/>
      <c r="D261" s="29"/>
      <c r="E261" s="29"/>
      <c r="F261" s="29"/>
      <c r="G261" s="29"/>
      <c r="H261" s="29"/>
      <c r="I261" s="29"/>
      <c r="J261" s="198"/>
      <c r="K261" s="29"/>
      <c r="L261" s="29"/>
      <c r="M261" s="29"/>
      <c r="N261" s="29"/>
      <c r="O261" s="29"/>
      <c r="P261" s="29"/>
      <c r="Q261" s="29"/>
      <c r="R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  <c r="AX261" s="29"/>
      <c r="AY261" s="29"/>
      <c r="AZ261" s="29"/>
    </row>
    <row r="262" spans="1:52" x14ac:dyDescent="0.25">
      <c r="A262" s="29"/>
      <c r="B262" s="29"/>
      <c r="C262" s="29"/>
      <c r="D262" s="29"/>
      <c r="E262" s="29"/>
      <c r="F262" s="29"/>
      <c r="G262" s="29"/>
      <c r="H262" s="29"/>
      <c r="I262" s="29"/>
      <c r="J262" s="198"/>
      <c r="K262" s="29"/>
      <c r="L262" s="29"/>
      <c r="M262" s="29"/>
      <c r="N262" s="29"/>
      <c r="O262" s="29"/>
      <c r="P262" s="29"/>
      <c r="Q262" s="29"/>
      <c r="R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  <c r="AX262" s="29"/>
      <c r="AY262" s="29"/>
      <c r="AZ262" s="29"/>
    </row>
    <row r="263" spans="1:52" x14ac:dyDescent="0.25">
      <c r="A263" s="29"/>
      <c r="B263" s="29"/>
      <c r="C263" s="29"/>
      <c r="D263" s="29"/>
      <c r="E263" s="29"/>
      <c r="F263" s="29"/>
      <c r="G263" s="29"/>
      <c r="H263" s="29"/>
      <c r="I263" s="29"/>
      <c r="J263" s="198"/>
      <c r="K263" s="29"/>
      <c r="L263" s="29"/>
      <c r="M263" s="29"/>
      <c r="N263" s="29"/>
      <c r="O263" s="29"/>
      <c r="P263" s="29"/>
      <c r="Q263" s="29"/>
      <c r="R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29"/>
      <c r="AY263" s="29"/>
      <c r="AZ263" s="29"/>
    </row>
    <row r="264" spans="1:52" x14ac:dyDescent="0.25">
      <c r="A264" s="29"/>
      <c r="B264" s="29"/>
      <c r="C264" s="29"/>
      <c r="D264" s="29"/>
      <c r="E264" s="29"/>
      <c r="F264" s="29"/>
      <c r="G264" s="29"/>
      <c r="H264" s="29"/>
      <c r="I264" s="29"/>
      <c r="J264" s="198"/>
      <c r="K264" s="29"/>
      <c r="L264" s="29"/>
      <c r="M264" s="29"/>
      <c r="N264" s="29"/>
      <c r="O264" s="29"/>
      <c r="P264" s="29"/>
      <c r="Q264" s="29"/>
      <c r="R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  <c r="AX264" s="29"/>
      <c r="AY264" s="29"/>
      <c r="AZ264" s="29"/>
    </row>
    <row r="265" spans="1:52" x14ac:dyDescent="0.25">
      <c r="A265" s="29"/>
      <c r="B265" s="29"/>
      <c r="C265" s="29"/>
      <c r="D265" s="29"/>
      <c r="E265" s="29"/>
      <c r="F265" s="29"/>
      <c r="G265" s="29"/>
      <c r="H265" s="29"/>
      <c r="I265" s="29"/>
      <c r="J265" s="198"/>
      <c r="K265" s="29"/>
      <c r="L265" s="29"/>
      <c r="M265" s="29"/>
      <c r="N265" s="29"/>
      <c r="O265" s="29"/>
      <c r="P265" s="29"/>
      <c r="Q265" s="29"/>
      <c r="R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  <c r="AX265" s="29"/>
      <c r="AY265" s="29"/>
      <c r="AZ265" s="29"/>
    </row>
    <row r="266" spans="1:52" x14ac:dyDescent="0.25">
      <c r="A266" s="29"/>
      <c r="B266" s="29"/>
      <c r="C266" s="29"/>
      <c r="D266" s="29"/>
      <c r="E266" s="29"/>
      <c r="F266" s="29"/>
      <c r="G266" s="29"/>
      <c r="H266" s="29"/>
      <c r="I266" s="29"/>
      <c r="J266" s="198"/>
      <c r="K266" s="29"/>
      <c r="L266" s="29"/>
      <c r="M266" s="29"/>
      <c r="N266" s="29"/>
      <c r="O266" s="29"/>
      <c r="P266" s="29"/>
      <c r="Q266" s="29"/>
      <c r="R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  <c r="AX266" s="29"/>
      <c r="AY266" s="29"/>
      <c r="AZ266" s="29"/>
    </row>
    <row r="267" spans="1:52" x14ac:dyDescent="0.25">
      <c r="A267" s="29"/>
      <c r="B267" s="29"/>
      <c r="C267" s="29"/>
      <c r="D267" s="29"/>
      <c r="E267" s="29"/>
      <c r="F267" s="29"/>
      <c r="G267" s="29"/>
      <c r="H267" s="29"/>
      <c r="I267" s="29"/>
      <c r="J267" s="198"/>
      <c r="K267" s="29"/>
      <c r="L267" s="29"/>
      <c r="M267" s="29"/>
      <c r="N267" s="29"/>
      <c r="O267" s="29"/>
      <c r="P267" s="29"/>
      <c r="Q267" s="29"/>
      <c r="R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  <c r="AX267" s="29"/>
      <c r="AY267" s="29"/>
      <c r="AZ267" s="29"/>
    </row>
    <row r="268" spans="1:52" x14ac:dyDescent="0.25">
      <c r="A268" s="29"/>
      <c r="B268" s="29"/>
      <c r="C268" s="29"/>
      <c r="D268" s="29"/>
      <c r="E268" s="29"/>
      <c r="F268" s="29"/>
      <c r="G268" s="29"/>
      <c r="H268" s="29"/>
      <c r="I268" s="29"/>
      <c r="J268" s="198"/>
      <c r="K268" s="29"/>
      <c r="L268" s="29"/>
      <c r="M268" s="29"/>
      <c r="N268" s="29"/>
      <c r="O268" s="29"/>
      <c r="P268" s="29"/>
      <c r="Q268" s="29"/>
      <c r="R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  <c r="AX268" s="29"/>
      <c r="AY268" s="29"/>
      <c r="AZ268" s="29"/>
    </row>
    <row r="269" spans="1:52" x14ac:dyDescent="0.25">
      <c r="A269" s="29"/>
      <c r="B269" s="29"/>
      <c r="C269" s="29"/>
      <c r="D269" s="29"/>
      <c r="E269" s="29"/>
      <c r="F269" s="29"/>
      <c r="G269" s="29"/>
      <c r="H269" s="29"/>
      <c r="I269" s="29"/>
      <c r="J269" s="198"/>
      <c r="K269" s="29"/>
      <c r="L269" s="29"/>
      <c r="M269" s="29"/>
      <c r="N269" s="29"/>
      <c r="O269" s="29"/>
      <c r="P269" s="29"/>
      <c r="Q269" s="29"/>
      <c r="R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  <c r="AX269" s="29"/>
      <c r="AY269" s="29"/>
      <c r="AZ269" s="29"/>
    </row>
    <row r="270" spans="1:52" x14ac:dyDescent="0.25">
      <c r="A270" s="29"/>
      <c r="B270" s="29"/>
      <c r="C270" s="29"/>
      <c r="D270" s="29"/>
      <c r="E270" s="29"/>
      <c r="F270" s="29"/>
      <c r="G270" s="29"/>
      <c r="H270" s="29"/>
      <c r="I270" s="29"/>
      <c r="J270" s="198"/>
      <c r="K270" s="29"/>
      <c r="L270" s="29"/>
      <c r="M270" s="29"/>
      <c r="N270" s="29"/>
      <c r="O270" s="29"/>
      <c r="P270" s="29"/>
      <c r="Q270" s="29"/>
      <c r="R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  <c r="AX270" s="29"/>
      <c r="AY270" s="29"/>
      <c r="AZ270" s="29"/>
    </row>
    <row r="271" spans="1:52" x14ac:dyDescent="0.25">
      <c r="A271" s="29"/>
      <c r="B271" s="29"/>
      <c r="C271" s="29"/>
      <c r="D271" s="29"/>
      <c r="E271" s="29"/>
      <c r="F271" s="29"/>
      <c r="G271" s="29"/>
      <c r="H271" s="29"/>
      <c r="I271" s="29"/>
      <c r="J271" s="198"/>
      <c r="K271" s="29"/>
      <c r="L271" s="29"/>
      <c r="M271" s="29"/>
      <c r="N271" s="29"/>
      <c r="O271" s="29"/>
      <c r="P271" s="29"/>
      <c r="Q271" s="29"/>
      <c r="R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  <c r="AX271" s="29"/>
      <c r="AY271" s="29"/>
      <c r="AZ271" s="29"/>
    </row>
    <row r="272" spans="1:52" x14ac:dyDescent="0.25">
      <c r="A272" s="29"/>
      <c r="B272" s="29"/>
      <c r="C272" s="29"/>
      <c r="D272" s="29"/>
      <c r="E272" s="29"/>
      <c r="F272" s="29"/>
      <c r="G272" s="29"/>
      <c r="H272" s="29"/>
      <c r="I272" s="29"/>
      <c r="J272" s="198"/>
      <c r="K272" s="29"/>
      <c r="L272" s="29"/>
      <c r="M272" s="29"/>
      <c r="N272" s="29"/>
      <c r="O272" s="29"/>
      <c r="P272" s="29"/>
      <c r="Q272" s="29"/>
      <c r="R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  <c r="AX272" s="29"/>
      <c r="AY272" s="29"/>
      <c r="AZ272" s="29"/>
    </row>
    <row r="273" spans="1:52" x14ac:dyDescent="0.25">
      <c r="A273" s="29"/>
      <c r="B273" s="29"/>
      <c r="C273" s="29"/>
      <c r="D273" s="29"/>
      <c r="E273" s="29"/>
      <c r="F273" s="29"/>
      <c r="G273" s="29"/>
      <c r="H273" s="29"/>
      <c r="I273" s="29"/>
      <c r="J273" s="198"/>
      <c r="K273" s="29"/>
      <c r="L273" s="29"/>
      <c r="M273" s="29"/>
      <c r="N273" s="29"/>
      <c r="O273" s="29"/>
      <c r="P273" s="29"/>
      <c r="Q273" s="29"/>
      <c r="R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  <c r="AX273" s="29"/>
      <c r="AY273" s="29"/>
      <c r="AZ273" s="29"/>
    </row>
    <row r="274" spans="1:52" x14ac:dyDescent="0.25">
      <c r="A274" s="29"/>
      <c r="B274" s="29"/>
      <c r="C274" s="29"/>
      <c r="D274" s="29"/>
      <c r="E274" s="29"/>
      <c r="F274" s="29"/>
      <c r="G274" s="29"/>
      <c r="H274" s="29"/>
      <c r="I274" s="29"/>
      <c r="J274" s="198"/>
      <c r="K274" s="29"/>
      <c r="L274" s="29"/>
      <c r="M274" s="29"/>
      <c r="N274" s="29"/>
      <c r="O274" s="29"/>
      <c r="P274" s="29"/>
      <c r="Q274" s="29"/>
      <c r="R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  <c r="AX274" s="29"/>
      <c r="AY274" s="29"/>
      <c r="AZ274" s="29"/>
    </row>
    <row r="275" spans="1:52" x14ac:dyDescent="0.25">
      <c r="A275" s="29"/>
      <c r="B275" s="29"/>
      <c r="C275" s="29"/>
      <c r="D275" s="29"/>
      <c r="E275" s="29"/>
      <c r="F275" s="29"/>
      <c r="G275" s="29"/>
      <c r="H275" s="29"/>
      <c r="I275" s="29"/>
      <c r="J275" s="198"/>
      <c r="K275" s="29"/>
      <c r="L275" s="29"/>
      <c r="M275" s="29"/>
      <c r="N275" s="29"/>
      <c r="O275" s="29"/>
      <c r="P275" s="29"/>
      <c r="Q275" s="29"/>
      <c r="R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  <c r="AX275" s="29"/>
      <c r="AY275" s="29"/>
      <c r="AZ275" s="29"/>
    </row>
    <row r="276" spans="1:52" x14ac:dyDescent="0.25">
      <c r="A276" s="29"/>
      <c r="B276" s="29"/>
      <c r="C276" s="29"/>
      <c r="D276" s="29"/>
      <c r="E276" s="29"/>
      <c r="F276" s="29"/>
      <c r="G276" s="29"/>
      <c r="H276" s="29"/>
      <c r="I276" s="29"/>
      <c r="J276" s="198"/>
      <c r="K276" s="29"/>
      <c r="L276" s="29"/>
      <c r="M276" s="29"/>
      <c r="N276" s="29"/>
      <c r="O276" s="29"/>
      <c r="P276" s="29"/>
      <c r="Q276" s="29"/>
      <c r="R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  <c r="AX276" s="29"/>
      <c r="AY276" s="29"/>
      <c r="AZ276" s="29"/>
    </row>
    <row r="277" spans="1:52" x14ac:dyDescent="0.25">
      <c r="A277" s="29"/>
      <c r="B277" s="29"/>
      <c r="C277" s="29"/>
      <c r="D277" s="29"/>
      <c r="E277" s="29"/>
      <c r="F277" s="29"/>
      <c r="G277" s="29"/>
      <c r="H277" s="29"/>
      <c r="I277" s="29"/>
      <c r="J277" s="198"/>
      <c r="K277" s="29"/>
      <c r="L277" s="29"/>
      <c r="M277" s="29"/>
      <c r="N277" s="29"/>
      <c r="O277" s="29"/>
      <c r="P277" s="29"/>
      <c r="Q277" s="29"/>
      <c r="R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  <c r="AX277" s="29"/>
      <c r="AY277" s="29"/>
      <c r="AZ277" s="29"/>
    </row>
    <row r="278" spans="1:52" x14ac:dyDescent="0.25">
      <c r="A278" s="29"/>
      <c r="B278" s="29"/>
      <c r="C278" s="29"/>
      <c r="D278" s="29"/>
      <c r="E278" s="29"/>
      <c r="F278" s="29"/>
      <c r="G278" s="29"/>
      <c r="H278" s="29"/>
      <c r="I278" s="29"/>
      <c r="J278" s="198"/>
      <c r="K278" s="29"/>
      <c r="L278" s="29"/>
      <c r="M278" s="29"/>
      <c r="N278" s="29"/>
      <c r="O278" s="29"/>
      <c r="P278" s="29"/>
      <c r="Q278" s="29"/>
      <c r="R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  <c r="AX278" s="29"/>
      <c r="AY278" s="29"/>
      <c r="AZ278" s="29"/>
    </row>
    <row r="279" spans="1:52" x14ac:dyDescent="0.25">
      <c r="A279" s="29"/>
      <c r="B279" s="29"/>
      <c r="C279" s="29"/>
      <c r="D279" s="29"/>
      <c r="E279" s="29"/>
      <c r="F279" s="29"/>
      <c r="G279" s="29"/>
      <c r="H279" s="29"/>
      <c r="I279" s="29"/>
      <c r="J279" s="198"/>
      <c r="K279" s="29"/>
      <c r="L279" s="29"/>
      <c r="M279" s="29"/>
      <c r="N279" s="29"/>
      <c r="O279" s="29"/>
      <c r="P279" s="29"/>
      <c r="Q279" s="29"/>
      <c r="R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  <c r="AX279" s="29"/>
      <c r="AY279" s="29"/>
      <c r="AZ279" s="29"/>
    </row>
    <row r="280" spans="1:52" x14ac:dyDescent="0.25">
      <c r="A280" s="29"/>
      <c r="B280" s="29"/>
      <c r="C280" s="29"/>
      <c r="D280" s="29"/>
      <c r="E280" s="29"/>
      <c r="F280" s="29"/>
      <c r="G280" s="29"/>
      <c r="H280" s="29"/>
      <c r="I280" s="29"/>
      <c r="J280" s="198"/>
      <c r="K280" s="29"/>
      <c r="L280" s="29"/>
      <c r="M280" s="29"/>
      <c r="N280" s="29"/>
      <c r="O280" s="29"/>
      <c r="P280" s="29"/>
      <c r="Q280" s="29"/>
      <c r="R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  <c r="AX280" s="29"/>
      <c r="AY280" s="29"/>
      <c r="AZ280" s="29"/>
    </row>
    <row r="281" spans="1:52" x14ac:dyDescent="0.25">
      <c r="A281" s="29"/>
      <c r="B281" s="29"/>
      <c r="C281" s="29"/>
      <c r="D281" s="29"/>
      <c r="E281" s="29"/>
      <c r="F281" s="29"/>
      <c r="G281" s="29"/>
      <c r="H281" s="29"/>
      <c r="I281" s="29"/>
      <c r="J281" s="198"/>
      <c r="K281" s="29"/>
      <c r="L281" s="29"/>
      <c r="M281" s="29"/>
      <c r="N281" s="29"/>
      <c r="O281" s="29"/>
      <c r="P281" s="29"/>
      <c r="Q281" s="29"/>
      <c r="R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  <c r="AX281" s="29"/>
      <c r="AY281" s="29"/>
      <c r="AZ281" s="29"/>
    </row>
    <row r="282" spans="1:52" x14ac:dyDescent="0.25">
      <c r="A282" s="29"/>
      <c r="B282" s="29"/>
      <c r="C282" s="29"/>
      <c r="D282" s="29"/>
      <c r="E282" s="29"/>
      <c r="F282" s="29"/>
      <c r="G282" s="29"/>
      <c r="H282" s="29"/>
      <c r="I282" s="29"/>
      <c r="J282" s="198"/>
      <c r="K282" s="29"/>
      <c r="L282" s="29"/>
      <c r="M282" s="29"/>
      <c r="N282" s="29"/>
      <c r="O282" s="29"/>
      <c r="P282" s="29"/>
      <c r="Q282" s="29"/>
      <c r="R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  <c r="AX282" s="29"/>
      <c r="AY282" s="29"/>
      <c r="AZ282" s="29"/>
    </row>
    <row r="283" spans="1:52" x14ac:dyDescent="0.25">
      <c r="A283" s="29"/>
      <c r="B283" s="29"/>
      <c r="C283" s="29"/>
      <c r="D283" s="29"/>
      <c r="E283" s="29"/>
      <c r="F283" s="29"/>
      <c r="G283" s="29"/>
      <c r="H283" s="29"/>
      <c r="I283" s="29"/>
      <c r="J283" s="198"/>
      <c r="K283" s="29"/>
      <c r="L283" s="29"/>
      <c r="M283" s="29"/>
      <c r="N283" s="29"/>
      <c r="O283" s="29"/>
      <c r="P283" s="29"/>
      <c r="Q283" s="29"/>
      <c r="R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  <c r="AX283" s="29"/>
      <c r="AY283" s="29"/>
      <c r="AZ283" s="29"/>
    </row>
    <row r="284" spans="1:52" x14ac:dyDescent="0.25">
      <c r="A284" s="29"/>
      <c r="B284" s="29"/>
      <c r="C284" s="29"/>
      <c r="D284" s="29"/>
      <c r="E284" s="29"/>
      <c r="F284" s="29"/>
      <c r="G284" s="29"/>
      <c r="H284" s="29"/>
      <c r="I284" s="29"/>
      <c r="J284" s="198"/>
      <c r="K284" s="29"/>
      <c r="L284" s="29"/>
      <c r="M284" s="29"/>
      <c r="N284" s="29"/>
      <c r="O284" s="29"/>
      <c r="P284" s="29"/>
      <c r="Q284" s="29"/>
      <c r="R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  <c r="AX284" s="29"/>
      <c r="AY284" s="29"/>
      <c r="AZ284" s="29"/>
    </row>
    <row r="285" spans="1:52" x14ac:dyDescent="0.25">
      <c r="A285" s="29"/>
      <c r="B285" s="29"/>
      <c r="C285" s="29"/>
      <c r="D285" s="29"/>
      <c r="E285" s="29"/>
      <c r="F285" s="29"/>
      <c r="G285" s="29"/>
      <c r="H285" s="29"/>
      <c r="I285" s="29"/>
      <c r="J285" s="198"/>
      <c r="K285" s="29"/>
      <c r="L285" s="29"/>
      <c r="M285" s="29"/>
      <c r="N285" s="29"/>
      <c r="O285" s="29"/>
      <c r="P285" s="29"/>
      <c r="Q285" s="29"/>
      <c r="R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  <c r="AX285" s="29"/>
      <c r="AY285" s="29"/>
      <c r="AZ285" s="29"/>
    </row>
    <row r="286" spans="1:52" x14ac:dyDescent="0.25">
      <c r="A286" s="29"/>
      <c r="B286" s="29"/>
      <c r="C286" s="29"/>
      <c r="D286" s="29"/>
      <c r="E286" s="29"/>
      <c r="F286" s="29"/>
      <c r="G286" s="29"/>
      <c r="H286" s="29"/>
      <c r="I286" s="29"/>
      <c r="J286" s="198"/>
      <c r="K286" s="29"/>
      <c r="L286" s="29"/>
      <c r="M286" s="29"/>
      <c r="N286" s="29"/>
      <c r="O286" s="29"/>
      <c r="P286" s="29"/>
      <c r="Q286" s="29"/>
      <c r="R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  <c r="AX286" s="29"/>
      <c r="AY286" s="29"/>
      <c r="AZ286" s="29"/>
    </row>
    <row r="287" spans="1:52" x14ac:dyDescent="0.25">
      <c r="A287" s="29"/>
      <c r="B287" s="29"/>
      <c r="C287" s="29"/>
      <c r="D287" s="29"/>
      <c r="E287" s="29"/>
      <c r="F287" s="29"/>
      <c r="G287" s="29"/>
      <c r="H287" s="29"/>
      <c r="I287" s="29"/>
      <c r="J287" s="198"/>
      <c r="K287" s="29"/>
      <c r="L287" s="29"/>
      <c r="M287" s="29"/>
      <c r="N287" s="29"/>
      <c r="O287" s="29"/>
      <c r="P287" s="29"/>
      <c r="Q287" s="29"/>
      <c r="R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  <c r="AX287" s="29"/>
      <c r="AY287" s="29"/>
      <c r="AZ287" s="29"/>
    </row>
    <row r="288" spans="1:52" x14ac:dyDescent="0.25">
      <c r="A288" s="29"/>
      <c r="B288" s="29"/>
      <c r="C288" s="29"/>
      <c r="D288" s="29"/>
      <c r="E288" s="29"/>
      <c r="F288" s="29"/>
      <c r="G288" s="29"/>
      <c r="H288" s="29"/>
      <c r="I288" s="29"/>
      <c r="J288" s="198"/>
      <c r="K288" s="29"/>
      <c r="L288" s="29"/>
      <c r="M288" s="29"/>
      <c r="N288" s="29"/>
      <c r="O288" s="29"/>
      <c r="P288" s="29"/>
      <c r="Q288" s="29"/>
      <c r="R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  <c r="AX288" s="29"/>
      <c r="AY288" s="29"/>
      <c r="AZ288" s="29"/>
    </row>
    <row r="289" spans="1:52" x14ac:dyDescent="0.25">
      <c r="A289" s="29"/>
      <c r="B289" s="29"/>
      <c r="C289" s="29"/>
      <c r="D289" s="29"/>
      <c r="E289" s="29"/>
      <c r="F289" s="29"/>
      <c r="G289" s="29"/>
      <c r="H289" s="29"/>
      <c r="I289" s="29"/>
      <c r="J289" s="198"/>
      <c r="K289" s="29"/>
      <c r="L289" s="29"/>
      <c r="M289" s="29"/>
      <c r="N289" s="29"/>
      <c r="O289" s="29"/>
      <c r="P289" s="29"/>
      <c r="Q289" s="29"/>
      <c r="R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  <c r="AX289" s="29"/>
      <c r="AY289" s="29"/>
      <c r="AZ289" s="29"/>
    </row>
    <row r="290" spans="1:52" x14ac:dyDescent="0.25">
      <c r="A290" s="29"/>
      <c r="B290" s="29"/>
      <c r="C290" s="29"/>
      <c r="D290" s="29"/>
      <c r="E290" s="29"/>
      <c r="F290" s="29"/>
      <c r="G290" s="29"/>
      <c r="H290" s="29"/>
      <c r="I290" s="29"/>
      <c r="J290" s="198"/>
      <c r="K290" s="29"/>
      <c r="L290" s="29"/>
      <c r="M290" s="29"/>
      <c r="N290" s="29"/>
      <c r="O290" s="29"/>
      <c r="P290" s="29"/>
      <c r="Q290" s="29"/>
      <c r="R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  <c r="AX290" s="29"/>
      <c r="AY290" s="29"/>
      <c r="AZ290" s="29"/>
    </row>
    <row r="291" spans="1:52" x14ac:dyDescent="0.25">
      <c r="A291" s="29"/>
      <c r="B291" s="29"/>
      <c r="C291" s="29"/>
      <c r="D291" s="29"/>
      <c r="E291" s="29"/>
      <c r="F291" s="29"/>
      <c r="G291" s="29"/>
      <c r="H291" s="29"/>
      <c r="I291" s="29"/>
      <c r="J291" s="198"/>
      <c r="K291" s="29"/>
      <c r="L291" s="29"/>
      <c r="M291" s="29"/>
      <c r="N291" s="29"/>
      <c r="O291" s="29"/>
      <c r="P291" s="29"/>
      <c r="Q291" s="29"/>
      <c r="R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  <c r="AX291" s="29"/>
      <c r="AY291" s="29"/>
      <c r="AZ291" s="29"/>
    </row>
    <row r="292" spans="1:52" x14ac:dyDescent="0.25">
      <c r="A292" s="29"/>
      <c r="B292" s="29"/>
      <c r="C292" s="29"/>
      <c r="D292" s="29"/>
      <c r="E292" s="29"/>
      <c r="F292" s="29"/>
      <c r="G292" s="29"/>
      <c r="H292" s="29"/>
      <c r="I292" s="29"/>
      <c r="J292" s="198"/>
      <c r="K292" s="29"/>
      <c r="L292" s="29"/>
      <c r="M292" s="29"/>
      <c r="N292" s="29"/>
      <c r="O292" s="29"/>
      <c r="P292" s="29"/>
      <c r="Q292" s="29"/>
      <c r="R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  <c r="AX292" s="29"/>
      <c r="AY292" s="29"/>
      <c r="AZ292" s="29"/>
    </row>
    <row r="293" spans="1:52" x14ac:dyDescent="0.25">
      <c r="A293" s="29"/>
      <c r="B293" s="29"/>
      <c r="C293" s="29"/>
      <c r="D293" s="29"/>
      <c r="E293" s="29"/>
      <c r="F293" s="29"/>
      <c r="G293" s="29"/>
      <c r="H293" s="29"/>
      <c r="I293" s="29"/>
      <c r="J293" s="198"/>
      <c r="K293" s="29"/>
      <c r="L293" s="29"/>
      <c r="M293" s="29"/>
      <c r="N293" s="29"/>
      <c r="O293" s="29"/>
      <c r="P293" s="29"/>
      <c r="Q293" s="29"/>
      <c r="R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  <c r="AX293" s="29"/>
      <c r="AY293" s="29"/>
      <c r="AZ293" s="29"/>
    </row>
    <row r="294" spans="1:52" x14ac:dyDescent="0.25">
      <c r="A294" s="29"/>
      <c r="B294" s="29"/>
      <c r="C294" s="29"/>
      <c r="D294" s="29"/>
      <c r="E294" s="29"/>
      <c r="F294" s="29"/>
      <c r="G294" s="29"/>
      <c r="H294" s="29"/>
      <c r="I294" s="29"/>
      <c r="J294" s="198"/>
      <c r="K294" s="29"/>
      <c r="L294" s="29"/>
      <c r="M294" s="29"/>
      <c r="N294" s="29"/>
      <c r="O294" s="29"/>
      <c r="P294" s="29"/>
      <c r="Q294" s="29"/>
      <c r="R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  <c r="AX294" s="29"/>
      <c r="AY294" s="29"/>
      <c r="AZ294" s="29"/>
    </row>
    <row r="295" spans="1:52" x14ac:dyDescent="0.25">
      <c r="A295" s="29"/>
      <c r="B295" s="29"/>
      <c r="C295" s="29"/>
      <c r="D295" s="29"/>
      <c r="E295" s="29"/>
      <c r="F295" s="29"/>
      <c r="G295" s="29"/>
      <c r="H295" s="29"/>
      <c r="I295" s="29"/>
      <c r="J295" s="198"/>
      <c r="K295" s="29"/>
      <c r="L295" s="29"/>
      <c r="M295" s="29"/>
      <c r="N295" s="29"/>
      <c r="O295" s="29"/>
      <c r="P295" s="29"/>
      <c r="Q295" s="29"/>
      <c r="R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  <c r="AX295" s="29"/>
      <c r="AY295" s="29"/>
      <c r="AZ295" s="29"/>
    </row>
    <row r="296" spans="1:52" x14ac:dyDescent="0.25">
      <c r="A296" s="29"/>
      <c r="B296" s="29"/>
      <c r="C296" s="29"/>
      <c r="D296" s="29"/>
      <c r="E296" s="29"/>
      <c r="F296" s="29"/>
      <c r="G296" s="29"/>
      <c r="H296" s="29"/>
      <c r="I296" s="29"/>
      <c r="J296" s="198"/>
      <c r="K296" s="29"/>
      <c r="L296" s="29"/>
      <c r="M296" s="29"/>
      <c r="N296" s="29"/>
      <c r="O296" s="29"/>
      <c r="P296" s="29"/>
      <c r="Q296" s="29"/>
      <c r="R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  <c r="AX296" s="29"/>
      <c r="AY296" s="29"/>
      <c r="AZ296" s="29"/>
    </row>
    <row r="297" spans="1:52" x14ac:dyDescent="0.25">
      <c r="A297" s="29"/>
      <c r="B297" s="29"/>
      <c r="C297" s="29"/>
      <c r="D297" s="29"/>
      <c r="E297" s="29"/>
      <c r="F297" s="29"/>
      <c r="G297" s="29"/>
      <c r="H297" s="29"/>
      <c r="I297" s="29"/>
      <c r="J297" s="198"/>
      <c r="K297" s="29"/>
      <c r="L297" s="29"/>
      <c r="M297" s="29"/>
      <c r="N297" s="29"/>
      <c r="O297" s="29"/>
      <c r="P297" s="29"/>
      <c r="Q297" s="29"/>
      <c r="R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  <c r="AX297" s="29"/>
      <c r="AY297" s="29"/>
      <c r="AZ297" s="29"/>
    </row>
    <row r="298" spans="1:52" x14ac:dyDescent="0.25">
      <c r="A298" s="29"/>
      <c r="B298" s="29"/>
      <c r="C298" s="29"/>
      <c r="D298" s="29"/>
      <c r="E298" s="29"/>
      <c r="F298" s="29"/>
      <c r="G298" s="29"/>
      <c r="H298" s="29"/>
      <c r="I298" s="29"/>
      <c r="J298" s="198"/>
      <c r="K298" s="29"/>
      <c r="L298" s="29"/>
      <c r="M298" s="29"/>
      <c r="N298" s="29"/>
      <c r="O298" s="29"/>
      <c r="P298" s="29"/>
      <c r="Q298" s="29"/>
      <c r="R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  <c r="AX298" s="29"/>
      <c r="AY298" s="29"/>
      <c r="AZ298" s="29"/>
    </row>
    <row r="299" spans="1:52" x14ac:dyDescent="0.25">
      <c r="A299" s="29"/>
      <c r="B299" s="29"/>
      <c r="C299" s="29"/>
      <c r="D299" s="29"/>
      <c r="E299" s="29"/>
      <c r="F299" s="29"/>
      <c r="G299" s="29"/>
      <c r="H299" s="29"/>
      <c r="I299" s="29"/>
      <c r="J299" s="198"/>
      <c r="K299" s="29"/>
      <c r="L299" s="29"/>
      <c r="M299" s="29"/>
      <c r="N299" s="29"/>
      <c r="O299" s="29"/>
      <c r="P299" s="29"/>
      <c r="Q299" s="29"/>
      <c r="R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  <c r="AX299" s="29"/>
      <c r="AY299" s="29"/>
      <c r="AZ299" s="29"/>
    </row>
    <row r="300" spans="1:52" x14ac:dyDescent="0.25">
      <c r="A300" s="29"/>
      <c r="B300" s="29"/>
      <c r="C300" s="29"/>
      <c r="D300" s="29"/>
      <c r="E300" s="29"/>
      <c r="F300" s="29"/>
      <c r="G300" s="29"/>
      <c r="H300" s="29"/>
      <c r="I300" s="29"/>
      <c r="J300" s="198"/>
      <c r="K300" s="29"/>
      <c r="L300" s="29"/>
      <c r="M300" s="29"/>
      <c r="N300" s="29"/>
      <c r="O300" s="29"/>
      <c r="P300" s="29"/>
      <c r="Q300" s="29"/>
      <c r="R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  <c r="AX300" s="29"/>
      <c r="AY300" s="29"/>
      <c r="AZ300" s="29"/>
    </row>
    <row r="301" spans="1:52" x14ac:dyDescent="0.25">
      <c r="A301" s="29"/>
      <c r="B301" s="29"/>
      <c r="C301" s="29"/>
      <c r="D301" s="29"/>
      <c r="E301" s="29"/>
      <c r="F301" s="29"/>
      <c r="G301" s="29"/>
      <c r="H301" s="29"/>
      <c r="I301" s="29"/>
      <c r="J301" s="198"/>
      <c r="K301" s="29"/>
      <c r="L301" s="29"/>
      <c r="M301" s="29"/>
      <c r="N301" s="29"/>
      <c r="O301" s="29"/>
      <c r="P301" s="29"/>
      <c r="Q301" s="29"/>
      <c r="R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  <c r="AX301" s="29"/>
      <c r="AY301" s="29"/>
      <c r="AZ301" s="29"/>
    </row>
    <row r="302" spans="1:52" x14ac:dyDescent="0.25">
      <c r="A302" s="29"/>
      <c r="B302" s="29"/>
      <c r="C302" s="29"/>
      <c r="D302" s="29"/>
      <c r="E302" s="29"/>
      <c r="F302" s="29"/>
      <c r="G302" s="29"/>
      <c r="H302" s="29"/>
      <c r="I302" s="29"/>
      <c r="J302" s="198"/>
      <c r="K302" s="29"/>
      <c r="L302" s="29"/>
      <c r="M302" s="29"/>
      <c r="N302" s="29"/>
      <c r="O302" s="29"/>
      <c r="P302" s="29"/>
      <c r="Q302" s="29"/>
      <c r="R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  <c r="AX302" s="29"/>
      <c r="AY302" s="29"/>
      <c r="AZ302" s="29"/>
    </row>
    <row r="303" spans="1:52" x14ac:dyDescent="0.25">
      <c r="A303" s="29"/>
      <c r="B303" s="29"/>
      <c r="C303" s="29"/>
      <c r="D303" s="29"/>
      <c r="E303" s="29"/>
      <c r="F303" s="29"/>
      <c r="G303" s="29"/>
      <c r="H303" s="29"/>
      <c r="I303" s="29"/>
      <c r="J303" s="198"/>
      <c r="K303" s="29"/>
      <c r="L303" s="29"/>
      <c r="M303" s="29"/>
      <c r="N303" s="29"/>
      <c r="O303" s="29"/>
      <c r="P303" s="29"/>
      <c r="Q303" s="29"/>
      <c r="R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  <c r="AX303" s="29"/>
      <c r="AY303" s="29"/>
      <c r="AZ303" s="29"/>
    </row>
    <row r="304" spans="1:52" x14ac:dyDescent="0.25">
      <c r="A304" s="29"/>
      <c r="B304" s="29"/>
      <c r="C304" s="29"/>
      <c r="D304" s="29"/>
      <c r="E304" s="29"/>
      <c r="F304" s="29"/>
      <c r="G304" s="29"/>
      <c r="H304" s="29"/>
      <c r="I304" s="29"/>
      <c r="J304" s="198"/>
      <c r="K304" s="29"/>
      <c r="L304" s="29"/>
      <c r="M304" s="29"/>
      <c r="N304" s="29"/>
      <c r="O304" s="29"/>
      <c r="P304" s="29"/>
      <c r="Q304" s="29"/>
      <c r="R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  <c r="AX304" s="29"/>
      <c r="AY304" s="29"/>
      <c r="AZ304" s="29"/>
    </row>
    <row r="305" spans="1:52" x14ac:dyDescent="0.25">
      <c r="A305" s="29"/>
      <c r="B305" s="29"/>
      <c r="C305" s="29"/>
      <c r="D305" s="29"/>
      <c r="E305" s="29"/>
      <c r="F305" s="29"/>
      <c r="G305" s="29"/>
      <c r="H305" s="29"/>
      <c r="I305" s="29"/>
      <c r="J305" s="198"/>
      <c r="K305" s="29"/>
      <c r="L305" s="29"/>
      <c r="M305" s="29"/>
      <c r="N305" s="29"/>
      <c r="O305" s="29"/>
      <c r="P305" s="29"/>
      <c r="Q305" s="29"/>
      <c r="R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</row>
    <row r="306" spans="1:52" x14ac:dyDescent="0.25">
      <c r="A306" s="29"/>
      <c r="B306" s="29"/>
      <c r="C306" s="29"/>
      <c r="D306" s="29"/>
      <c r="E306" s="29"/>
      <c r="F306" s="29"/>
      <c r="G306" s="29"/>
      <c r="H306" s="29"/>
      <c r="I306" s="29"/>
      <c r="J306" s="198"/>
      <c r="K306" s="29"/>
      <c r="L306" s="29"/>
      <c r="M306" s="29"/>
      <c r="N306" s="29"/>
      <c r="O306" s="29"/>
      <c r="P306" s="29"/>
      <c r="Q306" s="29"/>
      <c r="R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</row>
    <row r="307" spans="1:52" x14ac:dyDescent="0.25">
      <c r="A307" s="29"/>
      <c r="B307" s="29"/>
      <c r="C307" s="29"/>
      <c r="D307" s="29"/>
      <c r="E307" s="29"/>
      <c r="F307" s="29"/>
      <c r="G307" s="29"/>
      <c r="H307" s="29"/>
      <c r="I307" s="29"/>
      <c r="J307" s="198"/>
      <c r="K307" s="29"/>
      <c r="L307" s="29"/>
      <c r="M307" s="29"/>
      <c r="N307" s="29"/>
      <c r="O307" s="29"/>
      <c r="P307" s="29"/>
      <c r="Q307" s="29"/>
      <c r="R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  <c r="AX307" s="29"/>
      <c r="AY307" s="29"/>
      <c r="AZ307" s="29"/>
    </row>
    <row r="308" spans="1:52" x14ac:dyDescent="0.25">
      <c r="A308" s="29"/>
      <c r="B308" s="29"/>
      <c r="C308" s="29"/>
      <c r="D308" s="29"/>
      <c r="E308" s="29"/>
      <c r="F308" s="29"/>
      <c r="G308" s="29"/>
      <c r="H308" s="29"/>
      <c r="I308" s="29"/>
      <c r="J308" s="198"/>
      <c r="K308" s="29"/>
      <c r="L308" s="29"/>
      <c r="M308" s="29"/>
      <c r="N308" s="29"/>
      <c r="O308" s="29"/>
      <c r="P308" s="29"/>
      <c r="Q308" s="29"/>
      <c r="R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  <c r="AX308" s="29"/>
      <c r="AY308" s="29"/>
      <c r="AZ308" s="29"/>
    </row>
    <row r="309" spans="1:52" x14ac:dyDescent="0.25">
      <c r="A309" s="29"/>
      <c r="B309" s="29"/>
      <c r="C309" s="29"/>
      <c r="D309" s="29"/>
      <c r="E309" s="29"/>
      <c r="F309" s="29"/>
      <c r="G309" s="29"/>
      <c r="H309" s="29"/>
      <c r="I309" s="29"/>
      <c r="J309" s="198"/>
      <c r="K309" s="29"/>
      <c r="L309" s="29"/>
      <c r="M309" s="29"/>
      <c r="N309" s="29"/>
      <c r="O309" s="29"/>
      <c r="P309" s="29"/>
      <c r="Q309" s="29"/>
      <c r="R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  <c r="AX309" s="29"/>
      <c r="AY309" s="29"/>
      <c r="AZ309" s="29"/>
    </row>
    <row r="310" spans="1:52" x14ac:dyDescent="0.25">
      <c r="A310" s="29"/>
      <c r="B310" s="29"/>
      <c r="C310" s="29"/>
      <c r="D310" s="29"/>
      <c r="E310" s="29"/>
      <c r="F310" s="29"/>
      <c r="G310" s="29"/>
      <c r="H310" s="29"/>
      <c r="I310" s="29"/>
      <c r="J310" s="198"/>
      <c r="K310" s="29"/>
      <c r="L310" s="29"/>
      <c r="M310" s="29"/>
      <c r="N310" s="29"/>
      <c r="O310" s="29"/>
      <c r="P310" s="29"/>
      <c r="Q310" s="29"/>
      <c r="R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  <c r="AX310" s="29"/>
      <c r="AY310" s="29"/>
      <c r="AZ310" s="29"/>
    </row>
    <row r="311" spans="1:52" x14ac:dyDescent="0.25">
      <c r="A311" s="29"/>
      <c r="B311" s="29"/>
      <c r="C311" s="29"/>
      <c r="D311" s="29"/>
      <c r="E311" s="29"/>
      <c r="F311" s="29"/>
      <c r="G311" s="29"/>
      <c r="H311" s="29"/>
      <c r="I311" s="29"/>
      <c r="J311" s="198"/>
      <c r="K311" s="29"/>
      <c r="L311" s="29"/>
      <c r="M311" s="29"/>
      <c r="N311" s="29"/>
      <c r="O311" s="29"/>
      <c r="P311" s="29"/>
      <c r="Q311" s="29"/>
      <c r="R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  <c r="AX311" s="29"/>
      <c r="AY311" s="29"/>
      <c r="AZ311" s="29"/>
    </row>
    <row r="312" spans="1:52" x14ac:dyDescent="0.25">
      <c r="A312" s="29"/>
      <c r="B312" s="29"/>
      <c r="C312" s="29"/>
      <c r="D312" s="29"/>
      <c r="E312" s="29"/>
      <c r="F312" s="29"/>
      <c r="G312" s="29"/>
      <c r="H312" s="29"/>
      <c r="I312" s="29"/>
      <c r="J312" s="198"/>
      <c r="K312" s="29"/>
      <c r="L312" s="29"/>
      <c r="M312" s="29"/>
      <c r="N312" s="29"/>
      <c r="O312" s="29"/>
      <c r="P312" s="29"/>
      <c r="Q312" s="29"/>
      <c r="R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  <c r="AX312" s="29"/>
      <c r="AY312" s="29"/>
      <c r="AZ312" s="29"/>
    </row>
    <row r="313" spans="1:52" x14ac:dyDescent="0.25">
      <c r="A313" s="29"/>
      <c r="B313" s="29"/>
      <c r="C313" s="29"/>
      <c r="D313" s="29"/>
      <c r="E313" s="29"/>
      <c r="F313" s="29"/>
      <c r="G313" s="29"/>
      <c r="H313" s="29"/>
      <c r="I313" s="29"/>
      <c r="J313" s="198"/>
      <c r="K313" s="29"/>
      <c r="L313" s="29"/>
      <c r="M313" s="29"/>
      <c r="N313" s="29"/>
      <c r="O313" s="29"/>
      <c r="P313" s="29"/>
      <c r="Q313" s="29"/>
      <c r="R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  <c r="AX313" s="29"/>
      <c r="AY313" s="29"/>
      <c r="AZ313" s="29"/>
    </row>
    <row r="314" spans="1:52" x14ac:dyDescent="0.25">
      <c r="A314" s="29"/>
      <c r="B314" s="29"/>
      <c r="C314" s="29"/>
      <c r="D314" s="29"/>
      <c r="E314" s="29"/>
      <c r="F314" s="29"/>
      <c r="G314" s="29"/>
      <c r="H314" s="29"/>
      <c r="I314" s="29"/>
      <c r="J314" s="198"/>
      <c r="K314" s="29"/>
      <c r="L314" s="29"/>
      <c r="M314" s="29"/>
      <c r="N314" s="29"/>
      <c r="O314" s="29"/>
      <c r="P314" s="29"/>
      <c r="Q314" s="29"/>
      <c r="R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  <c r="AX314" s="29"/>
      <c r="AY314" s="29"/>
      <c r="AZ314" s="29"/>
    </row>
    <row r="315" spans="1:52" x14ac:dyDescent="0.25">
      <c r="A315" s="29"/>
      <c r="B315" s="29"/>
      <c r="C315" s="29"/>
      <c r="D315" s="29"/>
      <c r="E315" s="29"/>
      <c r="F315" s="29"/>
      <c r="G315" s="29"/>
      <c r="H315" s="29"/>
      <c r="I315" s="29"/>
      <c r="J315" s="198"/>
      <c r="K315" s="29"/>
      <c r="L315" s="29"/>
      <c r="M315" s="29"/>
      <c r="N315" s="29"/>
      <c r="O315" s="29"/>
      <c r="P315" s="29"/>
      <c r="Q315" s="29"/>
      <c r="R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  <c r="AX315" s="29"/>
      <c r="AY315" s="29"/>
      <c r="AZ315" s="29"/>
    </row>
    <row r="316" spans="1:52" x14ac:dyDescent="0.25">
      <c r="A316" s="29"/>
      <c r="B316" s="29"/>
      <c r="C316" s="29"/>
      <c r="D316" s="29"/>
      <c r="E316" s="29"/>
      <c r="F316" s="29"/>
      <c r="G316" s="29"/>
      <c r="H316" s="29"/>
      <c r="I316" s="29"/>
      <c r="J316" s="198"/>
      <c r="K316" s="29"/>
      <c r="L316" s="29"/>
      <c r="M316" s="29"/>
      <c r="N316" s="29"/>
      <c r="O316" s="29"/>
      <c r="P316" s="29"/>
      <c r="Q316" s="29"/>
      <c r="R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  <c r="AX316" s="29"/>
      <c r="AY316" s="29"/>
      <c r="AZ316" s="29"/>
    </row>
    <row r="317" spans="1:52" x14ac:dyDescent="0.25">
      <c r="A317" s="29"/>
      <c r="B317" s="29"/>
      <c r="C317" s="29"/>
      <c r="D317" s="29"/>
      <c r="E317" s="29"/>
      <c r="F317" s="29"/>
      <c r="G317" s="29"/>
      <c r="H317" s="29"/>
      <c r="I317" s="29"/>
      <c r="J317" s="198"/>
      <c r="K317" s="29"/>
      <c r="L317" s="29"/>
      <c r="M317" s="29"/>
      <c r="N317" s="29"/>
      <c r="O317" s="29"/>
      <c r="P317" s="29"/>
      <c r="Q317" s="29"/>
      <c r="R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  <c r="AX317" s="29"/>
      <c r="AY317" s="29"/>
      <c r="AZ317" s="29"/>
    </row>
    <row r="318" spans="1:52" x14ac:dyDescent="0.25">
      <c r="A318" s="29"/>
      <c r="B318" s="29"/>
      <c r="C318" s="29"/>
      <c r="D318" s="29"/>
      <c r="E318" s="29"/>
      <c r="F318" s="29"/>
      <c r="G318" s="29"/>
      <c r="H318" s="29"/>
      <c r="I318" s="29"/>
      <c r="J318" s="198"/>
      <c r="K318" s="29"/>
      <c r="L318" s="29"/>
      <c r="M318" s="29"/>
      <c r="N318" s="29"/>
      <c r="O318" s="29"/>
      <c r="P318" s="29"/>
      <c r="Q318" s="29"/>
      <c r="R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  <c r="AX318" s="29"/>
      <c r="AY318" s="29"/>
      <c r="AZ318" s="29"/>
    </row>
    <row r="319" spans="1:52" x14ac:dyDescent="0.25">
      <c r="A319" s="29"/>
      <c r="B319" s="29"/>
      <c r="C319" s="29"/>
      <c r="D319" s="29"/>
      <c r="E319" s="29"/>
      <c r="F319" s="29"/>
      <c r="G319" s="29"/>
      <c r="H319" s="29"/>
      <c r="I319" s="29"/>
      <c r="J319" s="198"/>
      <c r="K319" s="29"/>
      <c r="L319" s="29"/>
      <c r="M319" s="29"/>
      <c r="N319" s="29"/>
      <c r="O319" s="29"/>
      <c r="P319" s="29"/>
      <c r="Q319" s="29"/>
      <c r="R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  <c r="AX319" s="29"/>
      <c r="AY319" s="29"/>
      <c r="AZ319" s="29"/>
    </row>
    <row r="320" spans="1:52" x14ac:dyDescent="0.25">
      <c r="A320" s="29"/>
      <c r="B320" s="29"/>
      <c r="C320" s="29"/>
      <c r="D320" s="29"/>
      <c r="E320" s="29"/>
      <c r="F320" s="29"/>
      <c r="G320" s="29"/>
      <c r="H320" s="29"/>
      <c r="I320" s="29"/>
      <c r="J320" s="198"/>
      <c r="K320" s="29"/>
      <c r="L320" s="29"/>
      <c r="M320" s="29"/>
      <c r="N320" s="29"/>
      <c r="O320" s="29"/>
      <c r="P320" s="29"/>
      <c r="Q320" s="29"/>
      <c r="R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  <c r="AX320" s="29"/>
      <c r="AY320" s="29"/>
      <c r="AZ320" s="29"/>
    </row>
    <row r="321" spans="1:52" x14ac:dyDescent="0.25">
      <c r="A321" s="29"/>
      <c r="B321" s="29"/>
      <c r="C321" s="29"/>
      <c r="D321" s="29"/>
      <c r="E321" s="29"/>
      <c r="F321" s="29"/>
      <c r="G321" s="29"/>
      <c r="H321" s="29"/>
      <c r="I321" s="29"/>
      <c r="J321" s="198"/>
      <c r="K321" s="29"/>
      <c r="L321" s="29"/>
      <c r="M321" s="29"/>
      <c r="N321" s="29"/>
      <c r="O321" s="29"/>
      <c r="P321" s="29"/>
      <c r="Q321" s="29"/>
      <c r="R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  <c r="AX321" s="29"/>
      <c r="AY321" s="29"/>
      <c r="AZ321" s="29"/>
    </row>
    <row r="322" spans="1:52" x14ac:dyDescent="0.25">
      <c r="A322" s="29"/>
      <c r="B322" s="29"/>
      <c r="C322" s="29"/>
      <c r="D322" s="29"/>
      <c r="E322" s="29"/>
      <c r="F322" s="29"/>
      <c r="G322" s="29"/>
      <c r="H322" s="29"/>
      <c r="I322" s="29"/>
      <c r="J322" s="198"/>
      <c r="K322" s="29"/>
      <c r="L322" s="29"/>
      <c r="M322" s="29"/>
      <c r="N322" s="29"/>
      <c r="O322" s="29"/>
      <c r="P322" s="29"/>
      <c r="Q322" s="29"/>
      <c r="R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  <c r="AX322" s="29"/>
      <c r="AY322" s="29"/>
      <c r="AZ322" s="29"/>
    </row>
    <row r="323" spans="1:52" x14ac:dyDescent="0.25">
      <c r="A323" s="29"/>
      <c r="B323" s="29"/>
      <c r="C323" s="29"/>
      <c r="D323" s="29"/>
      <c r="E323" s="29"/>
      <c r="F323" s="29"/>
      <c r="G323" s="29"/>
      <c r="H323" s="29"/>
      <c r="I323" s="29"/>
      <c r="J323" s="198"/>
      <c r="K323" s="29"/>
      <c r="L323" s="29"/>
      <c r="M323" s="29"/>
      <c r="N323" s="29"/>
      <c r="O323" s="29"/>
      <c r="P323" s="29"/>
      <c r="Q323" s="29"/>
      <c r="R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  <c r="AX323" s="29"/>
      <c r="AY323" s="29"/>
      <c r="AZ323" s="29"/>
    </row>
    <row r="324" spans="1:52" x14ac:dyDescent="0.25">
      <c r="A324" s="29"/>
      <c r="B324" s="29"/>
      <c r="C324" s="29"/>
      <c r="D324" s="29"/>
      <c r="E324" s="29"/>
      <c r="F324" s="29"/>
      <c r="G324" s="29"/>
      <c r="H324" s="29"/>
      <c r="I324" s="29"/>
      <c r="J324" s="198"/>
      <c r="K324" s="29"/>
      <c r="L324" s="29"/>
      <c r="M324" s="29"/>
      <c r="N324" s="29"/>
      <c r="O324" s="29"/>
      <c r="P324" s="29"/>
      <c r="Q324" s="29"/>
      <c r="R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  <c r="AX324" s="29"/>
      <c r="AY324" s="29"/>
      <c r="AZ324" s="29"/>
    </row>
    <row r="325" spans="1:52" x14ac:dyDescent="0.25">
      <c r="A325" s="29"/>
      <c r="B325" s="29"/>
      <c r="C325" s="29"/>
      <c r="D325" s="29"/>
      <c r="E325" s="29"/>
      <c r="F325" s="29"/>
      <c r="G325" s="29"/>
      <c r="H325" s="29"/>
      <c r="I325" s="29"/>
      <c r="J325" s="198"/>
      <c r="K325" s="29"/>
      <c r="L325" s="29"/>
      <c r="M325" s="29"/>
      <c r="N325" s="29"/>
      <c r="O325" s="29"/>
      <c r="P325" s="29"/>
      <c r="Q325" s="29"/>
      <c r="R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  <c r="AX325" s="29"/>
      <c r="AY325" s="29"/>
      <c r="AZ325" s="29"/>
    </row>
    <row r="326" spans="1:52" x14ac:dyDescent="0.25">
      <c r="A326" s="29"/>
      <c r="B326" s="29"/>
      <c r="C326" s="29"/>
      <c r="D326" s="29"/>
      <c r="E326" s="29"/>
      <c r="F326" s="29"/>
      <c r="G326" s="29"/>
      <c r="H326" s="29"/>
      <c r="I326" s="29"/>
      <c r="J326" s="198"/>
      <c r="K326" s="29"/>
      <c r="L326" s="29"/>
      <c r="M326" s="29"/>
      <c r="N326" s="29"/>
      <c r="O326" s="29"/>
      <c r="P326" s="29"/>
      <c r="Q326" s="29"/>
      <c r="R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  <c r="AX326" s="29"/>
      <c r="AY326" s="29"/>
      <c r="AZ326" s="29"/>
    </row>
    <row r="327" spans="1:52" x14ac:dyDescent="0.25">
      <c r="A327" s="29"/>
      <c r="B327" s="29"/>
      <c r="C327" s="29"/>
      <c r="D327" s="29"/>
      <c r="E327" s="29"/>
      <c r="F327" s="29"/>
      <c r="G327" s="29"/>
      <c r="H327" s="29"/>
      <c r="I327" s="29"/>
      <c r="J327" s="198"/>
      <c r="K327" s="29"/>
      <c r="L327" s="29"/>
      <c r="M327" s="29"/>
      <c r="N327" s="29"/>
      <c r="O327" s="29"/>
      <c r="P327" s="29"/>
      <c r="Q327" s="29"/>
      <c r="R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  <c r="AX327" s="29"/>
      <c r="AY327" s="29"/>
      <c r="AZ327" s="29"/>
    </row>
    <row r="328" spans="1:52" x14ac:dyDescent="0.25">
      <c r="A328" s="29"/>
      <c r="B328" s="29"/>
      <c r="C328" s="29"/>
      <c r="D328" s="29"/>
      <c r="E328" s="29"/>
      <c r="F328" s="29"/>
      <c r="G328" s="29"/>
      <c r="H328" s="29"/>
      <c r="I328" s="29"/>
      <c r="J328" s="198"/>
      <c r="K328" s="29"/>
      <c r="L328" s="29"/>
      <c r="M328" s="29"/>
      <c r="N328" s="29"/>
      <c r="O328" s="29"/>
      <c r="P328" s="29"/>
      <c r="Q328" s="29"/>
      <c r="R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  <c r="AX328" s="29"/>
      <c r="AY328" s="29"/>
      <c r="AZ328" s="29"/>
    </row>
    <row r="329" spans="1:52" x14ac:dyDescent="0.25">
      <c r="A329" s="29"/>
      <c r="B329" s="29"/>
      <c r="C329" s="29"/>
      <c r="D329" s="29"/>
      <c r="E329" s="29"/>
      <c r="F329" s="29"/>
      <c r="G329" s="29"/>
      <c r="H329" s="29"/>
      <c r="I329" s="29"/>
      <c r="J329" s="198"/>
      <c r="K329" s="29"/>
      <c r="L329" s="29"/>
      <c r="M329" s="29"/>
      <c r="N329" s="29"/>
      <c r="O329" s="29"/>
      <c r="P329" s="29"/>
      <c r="Q329" s="29"/>
      <c r="R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  <c r="AX329" s="29"/>
      <c r="AY329" s="29"/>
      <c r="AZ329" s="29"/>
    </row>
    <row r="330" spans="1:52" x14ac:dyDescent="0.25">
      <c r="A330" s="29"/>
      <c r="B330" s="29"/>
      <c r="C330" s="29"/>
      <c r="D330" s="29"/>
      <c r="E330" s="29"/>
      <c r="F330" s="29"/>
      <c r="G330" s="29"/>
      <c r="H330" s="29"/>
      <c r="I330" s="29"/>
      <c r="J330" s="198"/>
      <c r="K330" s="29"/>
      <c r="L330" s="29"/>
      <c r="M330" s="29"/>
      <c r="N330" s="29"/>
      <c r="O330" s="29"/>
      <c r="P330" s="29"/>
      <c r="Q330" s="29"/>
      <c r="R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  <c r="AX330" s="29"/>
      <c r="AY330" s="29"/>
      <c r="AZ330" s="29"/>
    </row>
    <row r="331" spans="1:52" x14ac:dyDescent="0.25">
      <c r="A331" s="29"/>
      <c r="B331" s="29"/>
      <c r="C331" s="29"/>
      <c r="D331" s="29"/>
      <c r="E331" s="29"/>
      <c r="F331" s="29"/>
      <c r="G331" s="29"/>
      <c r="H331" s="29"/>
      <c r="I331" s="29"/>
      <c r="J331" s="198"/>
      <c r="K331" s="29"/>
      <c r="L331" s="29"/>
      <c r="M331" s="29"/>
      <c r="N331" s="29"/>
      <c r="O331" s="29"/>
      <c r="P331" s="29"/>
      <c r="Q331" s="29"/>
      <c r="R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  <c r="AX331" s="29"/>
      <c r="AY331" s="29"/>
      <c r="AZ331" s="29"/>
    </row>
    <row r="332" spans="1:52" x14ac:dyDescent="0.25">
      <c r="A332" s="29"/>
      <c r="B332" s="29"/>
      <c r="C332" s="29"/>
      <c r="D332" s="29"/>
      <c r="E332" s="29"/>
      <c r="F332" s="29"/>
      <c r="G332" s="29"/>
      <c r="H332" s="29"/>
      <c r="I332" s="29"/>
      <c r="J332" s="198"/>
      <c r="K332" s="29"/>
      <c r="L332" s="29"/>
      <c r="M332" s="29"/>
      <c r="N332" s="29"/>
      <c r="O332" s="29"/>
      <c r="P332" s="29"/>
      <c r="Q332" s="29"/>
      <c r="R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  <c r="AX332" s="29"/>
      <c r="AY332" s="29"/>
      <c r="AZ332" s="29"/>
    </row>
    <row r="333" spans="1:52" x14ac:dyDescent="0.25">
      <c r="A333" s="29"/>
      <c r="B333" s="29"/>
      <c r="C333" s="29"/>
      <c r="D333" s="29"/>
      <c r="E333" s="29"/>
      <c r="F333" s="29"/>
      <c r="G333" s="29"/>
      <c r="H333" s="29"/>
      <c r="I333" s="29"/>
      <c r="J333" s="198"/>
      <c r="K333" s="29"/>
      <c r="L333" s="29"/>
      <c r="M333" s="29"/>
      <c r="N333" s="29"/>
      <c r="O333" s="29"/>
      <c r="P333" s="29"/>
      <c r="Q333" s="29"/>
      <c r="R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  <c r="AX333" s="29"/>
      <c r="AY333" s="29"/>
      <c r="AZ333" s="29"/>
    </row>
    <row r="334" spans="1:52" x14ac:dyDescent="0.25">
      <c r="A334" s="29"/>
      <c r="B334" s="29"/>
      <c r="C334" s="29"/>
      <c r="D334" s="29"/>
      <c r="E334" s="29"/>
      <c r="F334" s="29"/>
      <c r="G334" s="29"/>
      <c r="H334" s="29"/>
      <c r="I334" s="29"/>
      <c r="J334" s="198"/>
      <c r="K334" s="29"/>
      <c r="L334" s="29"/>
      <c r="M334" s="29"/>
      <c r="N334" s="29"/>
      <c r="O334" s="29"/>
      <c r="P334" s="29"/>
      <c r="Q334" s="29"/>
      <c r="R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  <c r="AX334" s="29"/>
      <c r="AY334" s="29"/>
      <c r="AZ334" s="29"/>
    </row>
    <row r="335" spans="1:52" x14ac:dyDescent="0.25">
      <c r="A335" s="29"/>
      <c r="B335" s="29"/>
      <c r="C335" s="29"/>
      <c r="D335" s="29"/>
      <c r="E335" s="29"/>
      <c r="F335" s="29"/>
      <c r="G335" s="29"/>
      <c r="H335" s="29"/>
      <c r="I335" s="29"/>
      <c r="J335" s="198"/>
      <c r="K335" s="29"/>
      <c r="L335" s="29"/>
      <c r="M335" s="29"/>
      <c r="N335" s="29"/>
      <c r="O335" s="29"/>
      <c r="P335" s="29"/>
      <c r="Q335" s="29"/>
      <c r="R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  <c r="AX335" s="29"/>
      <c r="AY335" s="29"/>
      <c r="AZ335" s="29"/>
    </row>
    <row r="336" spans="1:52" x14ac:dyDescent="0.25">
      <c r="A336" s="29"/>
      <c r="B336" s="29"/>
      <c r="C336" s="29"/>
      <c r="D336" s="29"/>
      <c r="E336" s="29"/>
      <c r="F336" s="29"/>
      <c r="G336" s="29"/>
      <c r="H336" s="29"/>
      <c r="I336" s="29"/>
      <c r="J336" s="198"/>
      <c r="K336" s="29"/>
      <c r="L336" s="29"/>
      <c r="M336" s="29"/>
      <c r="N336" s="29"/>
      <c r="O336" s="29"/>
      <c r="P336" s="29"/>
      <c r="Q336" s="29"/>
      <c r="R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  <c r="AX336" s="29"/>
      <c r="AY336" s="29"/>
      <c r="AZ336" s="29"/>
    </row>
    <row r="337" spans="1:52" x14ac:dyDescent="0.25">
      <c r="A337" s="29"/>
      <c r="B337" s="29"/>
      <c r="C337" s="29"/>
      <c r="D337" s="29"/>
      <c r="E337" s="29"/>
      <c r="F337" s="29"/>
      <c r="G337" s="29"/>
      <c r="H337" s="29"/>
      <c r="I337" s="29"/>
      <c r="J337" s="198"/>
      <c r="K337" s="29"/>
      <c r="L337" s="29"/>
      <c r="M337" s="29"/>
      <c r="N337" s="29"/>
      <c r="O337" s="29"/>
      <c r="P337" s="29"/>
      <c r="Q337" s="29"/>
      <c r="R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  <c r="AY337" s="29"/>
      <c r="AZ337" s="29"/>
    </row>
    <row r="338" spans="1:52" x14ac:dyDescent="0.25">
      <c r="A338" s="29"/>
      <c r="B338" s="29"/>
      <c r="C338" s="29"/>
      <c r="D338" s="29"/>
      <c r="E338" s="29"/>
      <c r="F338" s="29"/>
      <c r="G338" s="29"/>
      <c r="H338" s="29"/>
      <c r="I338" s="29"/>
      <c r="J338" s="198"/>
      <c r="K338" s="29"/>
      <c r="L338" s="29"/>
      <c r="M338" s="29"/>
      <c r="N338" s="29"/>
      <c r="O338" s="29"/>
      <c r="P338" s="29"/>
      <c r="Q338" s="29"/>
      <c r="R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  <c r="AX338" s="29"/>
      <c r="AY338" s="29"/>
      <c r="AZ338" s="29"/>
    </row>
    <row r="339" spans="1:52" x14ac:dyDescent="0.25">
      <c r="A339" s="29"/>
      <c r="B339" s="29"/>
      <c r="C339" s="29"/>
      <c r="D339" s="29"/>
      <c r="E339" s="29"/>
      <c r="F339" s="29"/>
      <c r="G339" s="29"/>
      <c r="H339" s="29"/>
      <c r="I339" s="29"/>
      <c r="J339" s="198"/>
      <c r="K339" s="29"/>
      <c r="L339" s="29"/>
      <c r="M339" s="29"/>
      <c r="N339" s="29"/>
      <c r="O339" s="29"/>
      <c r="P339" s="29"/>
      <c r="Q339" s="29"/>
      <c r="R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  <c r="AX339" s="29"/>
      <c r="AY339" s="29"/>
      <c r="AZ339" s="29"/>
    </row>
    <row r="340" spans="1:52" x14ac:dyDescent="0.25">
      <c r="A340" s="29"/>
      <c r="B340" s="29"/>
      <c r="C340" s="29"/>
      <c r="D340" s="29"/>
      <c r="E340" s="29"/>
      <c r="F340" s="29"/>
      <c r="G340" s="29"/>
      <c r="H340" s="29"/>
      <c r="I340" s="29"/>
      <c r="J340" s="198"/>
      <c r="K340" s="29"/>
      <c r="L340" s="29"/>
      <c r="M340" s="29"/>
      <c r="N340" s="29"/>
      <c r="O340" s="29"/>
      <c r="P340" s="29"/>
      <c r="Q340" s="29"/>
      <c r="R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  <c r="AX340" s="29"/>
      <c r="AY340" s="29"/>
      <c r="AZ340" s="29"/>
    </row>
    <row r="341" spans="1:52" x14ac:dyDescent="0.25">
      <c r="A341" s="29"/>
      <c r="B341" s="29"/>
      <c r="C341" s="29"/>
      <c r="D341" s="29"/>
      <c r="E341" s="29"/>
      <c r="F341" s="29"/>
      <c r="G341" s="29"/>
      <c r="H341" s="29"/>
      <c r="I341" s="29"/>
      <c r="J341" s="198"/>
      <c r="K341" s="29"/>
      <c r="L341" s="29"/>
      <c r="M341" s="29"/>
      <c r="N341" s="29"/>
      <c r="O341" s="29"/>
      <c r="P341" s="29"/>
      <c r="Q341" s="29"/>
      <c r="R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  <c r="AX341" s="29"/>
      <c r="AY341" s="29"/>
      <c r="AZ341" s="29"/>
    </row>
    <row r="342" spans="1:52" x14ac:dyDescent="0.25">
      <c r="A342" s="29"/>
      <c r="B342" s="29"/>
      <c r="C342" s="29"/>
      <c r="D342" s="29"/>
      <c r="E342" s="29"/>
      <c r="F342" s="29"/>
      <c r="G342" s="29"/>
      <c r="H342" s="29"/>
      <c r="I342" s="29"/>
      <c r="J342" s="198"/>
      <c r="K342" s="29"/>
      <c r="L342" s="29"/>
      <c r="M342" s="29"/>
      <c r="N342" s="29"/>
      <c r="O342" s="29"/>
      <c r="P342" s="29"/>
      <c r="Q342" s="29"/>
      <c r="R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  <c r="AX342" s="29"/>
      <c r="AY342" s="29"/>
      <c r="AZ342" s="29"/>
    </row>
    <row r="343" spans="1:52" x14ac:dyDescent="0.25">
      <c r="A343" s="29"/>
      <c r="B343" s="29"/>
      <c r="C343" s="29"/>
      <c r="D343" s="29"/>
      <c r="E343" s="29"/>
      <c r="F343" s="29"/>
      <c r="G343" s="29"/>
      <c r="H343" s="29"/>
      <c r="I343" s="29"/>
      <c r="J343" s="198"/>
      <c r="K343" s="29"/>
      <c r="L343" s="29"/>
      <c r="M343" s="29"/>
      <c r="N343" s="29"/>
      <c r="O343" s="29"/>
      <c r="P343" s="29"/>
      <c r="Q343" s="29"/>
      <c r="R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  <c r="AX343" s="29"/>
      <c r="AY343" s="29"/>
      <c r="AZ343" s="29"/>
    </row>
    <row r="344" spans="1:52" x14ac:dyDescent="0.25">
      <c r="A344" s="29"/>
      <c r="B344" s="29"/>
      <c r="C344" s="29"/>
      <c r="D344" s="29"/>
      <c r="E344" s="29"/>
      <c r="F344" s="29"/>
      <c r="G344" s="29"/>
      <c r="H344" s="29"/>
      <c r="I344" s="29"/>
      <c r="J344" s="198"/>
      <c r="K344" s="29"/>
      <c r="L344" s="29"/>
      <c r="M344" s="29"/>
      <c r="N344" s="29"/>
      <c r="O344" s="29"/>
      <c r="P344" s="29"/>
      <c r="Q344" s="29"/>
      <c r="R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  <c r="AX344" s="29"/>
      <c r="AY344" s="29"/>
      <c r="AZ344" s="29"/>
    </row>
    <row r="345" spans="1:52" x14ac:dyDescent="0.25">
      <c r="A345" s="29"/>
      <c r="B345" s="29"/>
      <c r="C345" s="29"/>
      <c r="D345" s="29"/>
      <c r="E345" s="29"/>
      <c r="F345" s="29"/>
      <c r="G345" s="29"/>
      <c r="H345" s="29"/>
      <c r="I345" s="29"/>
      <c r="J345" s="198"/>
      <c r="K345" s="29"/>
      <c r="L345" s="29"/>
      <c r="M345" s="29"/>
      <c r="N345" s="29"/>
      <c r="O345" s="29"/>
      <c r="P345" s="29"/>
      <c r="Q345" s="29"/>
      <c r="R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  <c r="AX345" s="29"/>
      <c r="AY345" s="29"/>
      <c r="AZ345" s="29"/>
    </row>
    <row r="346" spans="1:52" x14ac:dyDescent="0.25">
      <c r="A346" s="29"/>
      <c r="B346" s="29"/>
      <c r="C346" s="29"/>
      <c r="D346" s="29"/>
      <c r="E346" s="29"/>
      <c r="F346" s="29"/>
      <c r="G346" s="29"/>
      <c r="H346" s="29"/>
      <c r="I346" s="29"/>
      <c r="J346" s="198"/>
      <c r="K346" s="29"/>
      <c r="L346" s="29"/>
      <c r="M346" s="29"/>
      <c r="N346" s="29"/>
      <c r="O346" s="29"/>
      <c r="P346" s="29"/>
      <c r="Q346" s="29"/>
      <c r="R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  <c r="AX346" s="29"/>
      <c r="AY346" s="29"/>
      <c r="AZ346" s="29"/>
    </row>
    <row r="347" spans="1:52" x14ac:dyDescent="0.25">
      <c r="A347" s="29"/>
      <c r="B347" s="29"/>
      <c r="C347" s="29"/>
      <c r="D347" s="29"/>
      <c r="E347" s="29"/>
      <c r="F347" s="29"/>
      <c r="G347" s="29"/>
      <c r="H347" s="29"/>
      <c r="I347" s="29"/>
      <c r="J347" s="198"/>
      <c r="K347" s="29"/>
      <c r="L347" s="29"/>
      <c r="M347" s="29"/>
      <c r="N347" s="29"/>
      <c r="O347" s="29"/>
      <c r="P347" s="29"/>
      <c r="Q347" s="29"/>
      <c r="R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  <c r="AX347" s="29"/>
      <c r="AY347" s="29"/>
      <c r="AZ347" s="29"/>
    </row>
    <row r="348" spans="1:52" x14ac:dyDescent="0.25">
      <c r="A348" s="29"/>
      <c r="B348" s="29"/>
      <c r="C348" s="29"/>
      <c r="D348" s="29"/>
      <c r="E348" s="29"/>
      <c r="F348" s="29"/>
      <c r="G348" s="29"/>
      <c r="H348" s="29"/>
      <c r="I348" s="29"/>
      <c r="J348" s="198"/>
      <c r="K348" s="29"/>
      <c r="L348" s="29"/>
      <c r="M348" s="29"/>
      <c r="N348" s="29"/>
      <c r="O348" s="29"/>
      <c r="P348" s="29"/>
      <c r="Q348" s="29"/>
      <c r="R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  <c r="AX348" s="29"/>
      <c r="AY348" s="29"/>
      <c r="AZ348" s="29"/>
    </row>
    <row r="349" spans="1:52" x14ac:dyDescent="0.25">
      <c r="A349" s="29"/>
      <c r="B349" s="29"/>
      <c r="C349" s="29"/>
      <c r="D349" s="29"/>
      <c r="E349" s="29"/>
      <c r="F349" s="29"/>
      <c r="G349" s="29"/>
      <c r="H349" s="29"/>
      <c r="I349" s="29"/>
      <c r="J349" s="198"/>
      <c r="K349" s="29"/>
      <c r="L349" s="29"/>
      <c r="M349" s="29"/>
      <c r="N349" s="29"/>
      <c r="O349" s="29"/>
      <c r="P349" s="29"/>
      <c r="Q349" s="29"/>
      <c r="R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  <c r="AX349" s="29"/>
      <c r="AY349" s="29"/>
      <c r="AZ349" s="29"/>
    </row>
    <row r="350" spans="1:52" x14ac:dyDescent="0.25">
      <c r="A350" s="29"/>
      <c r="B350" s="29"/>
      <c r="C350" s="29"/>
      <c r="D350" s="29"/>
      <c r="E350" s="29"/>
      <c r="F350" s="29"/>
      <c r="G350" s="29"/>
      <c r="H350" s="29"/>
      <c r="I350" s="29"/>
      <c r="J350" s="198"/>
      <c r="K350" s="29"/>
      <c r="L350" s="29"/>
      <c r="M350" s="29"/>
      <c r="N350" s="29"/>
      <c r="O350" s="29"/>
      <c r="P350" s="29"/>
      <c r="Q350" s="29"/>
      <c r="R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  <c r="AX350" s="29"/>
      <c r="AY350" s="29"/>
      <c r="AZ350" s="29"/>
    </row>
    <row r="351" spans="1:52" x14ac:dyDescent="0.25">
      <c r="A351" s="29"/>
      <c r="B351" s="29"/>
      <c r="C351" s="29"/>
      <c r="D351" s="29"/>
      <c r="E351" s="29"/>
      <c r="F351" s="29"/>
      <c r="G351" s="29"/>
      <c r="H351" s="29"/>
      <c r="I351" s="29"/>
      <c r="J351" s="198"/>
      <c r="K351" s="29"/>
      <c r="L351" s="29"/>
      <c r="M351" s="29"/>
      <c r="N351" s="29"/>
      <c r="O351" s="29"/>
      <c r="P351" s="29"/>
      <c r="Q351" s="29"/>
      <c r="R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  <c r="AX351" s="29"/>
      <c r="AY351" s="29"/>
      <c r="AZ351" s="29"/>
    </row>
    <row r="352" spans="1:52" x14ac:dyDescent="0.25">
      <c r="A352" s="29"/>
      <c r="B352" s="29"/>
      <c r="C352" s="29"/>
      <c r="D352" s="29"/>
      <c r="E352" s="29"/>
      <c r="F352" s="29"/>
      <c r="G352" s="29"/>
      <c r="H352" s="29"/>
      <c r="I352" s="29"/>
      <c r="J352" s="198"/>
      <c r="K352" s="29"/>
      <c r="L352" s="29"/>
      <c r="M352" s="29"/>
      <c r="N352" s="29"/>
      <c r="O352" s="29"/>
      <c r="P352" s="29"/>
      <c r="Q352" s="29"/>
      <c r="R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  <c r="AX352" s="29"/>
      <c r="AY352" s="29"/>
      <c r="AZ352" s="29"/>
    </row>
    <row r="353" spans="1:52" x14ac:dyDescent="0.25">
      <c r="A353" s="29"/>
      <c r="B353" s="29"/>
      <c r="C353" s="29"/>
      <c r="D353" s="29"/>
      <c r="E353" s="29"/>
      <c r="F353" s="29"/>
      <c r="G353" s="29"/>
      <c r="H353" s="29"/>
      <c r="I353" s="29"/>
      <c r="J353" s="198"/>
      <c r="K353" s="29"/>
      <c r="L353" s="29"/>
      <c r="M353" s="29"/>
      <c r="N353" s="29"/>
      <c r="O353" s="29"/>
      <c r="P353" s="29"/>
      <c r="Q353" s="29"/>
      <c r="R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  <c r="AX353" s="29"/>
      <c r="AY353" s="29"/>
      <c r="AZ353" s="29"/>
    </row>
    <row r="354" spans="1:52" x14ac:dyDescent="0.25">
      <c r="A354" s="29"/>
      <c r="B354" s="29"/>
      <c r="C354" s="29"/>
      <c r="D354" s="29"/>
      <c r="E354" s="29"/>
      <c r="F354" s="29"/>
      <c r="G354" s="29"/>
      <c r="H354" s="29"/>
      <c r="I354" s="29"/>
      <c r="J354" s="198"/>
      <c r="K354" s="29"/>
      <c r="L354" s="29"/>
      <c r="M354" s="29"/>
      <c r="N354" s="29"/>
      <c r="O354" s="29"/>
      <c r="P354" s="29"/>
      <c r="Q354" s="29"/>
      <c r="R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  <c r="AX354" s="29"/>
      <c r="AY354" s="29"/>
      <c r="AZ354" s="29"/>
    </row>
    <row r="355" spans="1:52" x14ac:dyDescent="0.25">
      <c r="A355" s="29"/>
      <c r="B355" s="29"/>
      <c r="C355" s="29"/>
      <c r="D355" s="29"/>
      <c r="E355" s="29"/>
      <c r="F355" s="29"/>
      <c r="G355" s="29"/>
      <c r="H355" s="29"/>
      <c r="I355" s="29"/>
      <c r="J355" s="198"/>
      <c r="K355" s="29"/>
      <c r="L355" s="29"/>
      <c r="M355" s="29"/>
      <c r="N355" s="29"/>
      <c r="O355" s="29"/>
      <c r="P355" s="29"/>
      <c r="Q355" s="29"/>
      <c r="R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  <c r="AX355" s="29"/>
      <c r="AY355" s="29"/>
      <c r="AZ355" s="29"/>
    </row>
    <row r="356" spans="1:52" x14ac:dyDescent="0.25">
      <c r="A356" s="29"/>
      <c r="B356" s="29"/>
      <c r="C356" s="29"/>
      <c r="D356" s="29"/>
      <c r="E356" s="29"/>
      <c r="F356" s="29"/>
      <c r="G356" s="29"/>
      <c r="H356" s="29"/>
      <c r="I356" s="29"/>
      <c r="J356" s="198"/>
      <c r="K356" s="29"/>
      <c r="L356" s="29"/>
      <c r="M356" s="29"/>
      <c r="N356" s="29"/>
      <c r="O356" s="29"/>
      <c r="P356" s="29"/>
      <c r="Q356" s="29"/>
      <c r="R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  <c r="AX356" s="29"/>
      <c r="AY356" s="29"/>
      <c r="AZ356" s="29"/>
    </row>
    <row r="357" spans="1:52" x14ac:dyDescent="0.25">
      <c r="A357" s="29"/>
      <c r="B357" s="29"/>
      <c r="C357" s="29"/>
      <c r="D357" s="29"/>
      <c r="E357" s="29"/>
      <c r="F357" s="29"/>
      <c r="G357" s="29"/>
      <c r="H357" s="29"/>
      <c r="I357" s="29"/>
      <c r="J357" s="198"/>
      <c r="K357" s="29"/>
      <c r="L357" s="29"/>
      <c r="M357" s="29"/>
      <c r="N357" s="29"/>
      <c r="O357" s="29"/>
      <c r="P357" s="29"/>
      <c r="Q357" s="29"/>
      <c r="R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  <c r="AX357" s="29"/>
      <c r="AY357" s="29"/>
      <c r="AZ357" s="29"/>
    </row>
    <row r="358" spans="1:52" x14ac:dyDescent="0.25">
      <c r="A358" s="29"/>
      <c r="B358" s="29"/>
      <c r="C358" s="29"/>
      <c r="D358" s="29"/>
      <c r="E358" s="29"/>
      <c r="F358" s="29"/>
      <c r="G358" s="29"/>
      <c r="H358" s="29"/>
      <c r="I358" s="29"/>
      <c r="J358" s="198"/>
      <c r="K358" s="29"/>
      <c r="L358" s="29"/>
      <c r="M358" s="29"/>
      <c r="N358" s="29"/>
      <c r="O358" s="29"/>
      <c r="P358" s="29"/>
      <c r="Q358" s="29"/>
      <c r="R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  <c r="AX358" s="29"/>
      <c r="AY358" s="29"/>
      <c r="AZ358" s="29"/>
    </row>
    <row r="359" spans="1:52" x14ac:dyDescent="0.25">
      <c r="A359" s="29"/>
      <c r="B359" s="29"/>
      <c r="C359" s="29"/>
      <c r="D359" s="29"/>
      <c r="E359" s="29"/>
      <c r="F359" s="29"/>
      <c r="G359" s="29"/>
      <c r="H359" s="29"/>
      <c r="I359" s="29"/>
      <c r="J359" s="198"/>
      <c r="K359" s="29"/>
      <c r="L359" s="29"/>
      <c r="M359" s="29"/>
      <c r="N359" s="29"/>
      <c r="O359" s="29"/>
      <c r="P359" s="29"/>
      <c r="Q359" s="29"/>
      <c r="R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  <c r="AX359" s="29"/>
      <c r="AY359" s="29"/>
      <c r="AZ359" s="29"/>
    </row>
    <row r="360" spans="1:52" x14ac:dyDescent="0.25">
      <c r="A360" s="29"/>
      <c r="B360" s="29"/>
      <c r="C360" s="29"/>
      <c r="D360" s="29"/>
      <c r="E360" s="29"/>
      <c r="F360" s="29"/>
      <c r="G360" s="29"/>
      <c r="H360" s="29"/>
      <c r="I360" s="29"/>
      <c r="J360" s="198"/>
      <c r="K360" s="29"/>
      <c r="L360" s="29"/>
      <c r="M360" s="29"/>
      <c r="N360" s="29"/>
      <c r="O360" s="29"/>
      <c r="P360" s="29"/>
      <c r="Q360" s="29"/>
      <c r="R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  <c r="AX360" s="29"/>
      <c r="AY360" s="29"/>
      <c r="AZ360" s="29"/>
    </row>
    <row r="361" spans="1:52" x14ac:dyDescent="0.25">
      <c r="A361" s="29"/>
      <c r="B361" s="29"/>
      <c r="C361" s="29"/>
      <c r="D361" s="29"/>
      <c r="E361" s="29"/>
      <c r="F361" s="29"/>
      <c r="G361" s="29"/>
      <c r="H361" s="29"/>
      <c r="I361" s="29"/>
      <c r="J361" s="198"/>
      <c r="K361" s="29"/>
      <c r="L361" s="29"/>
      <c r="M361" s="29"/>
      <c r="N361" s="29"/>
      <c r="O361" s="29"/>
      <c r="P361" s="29"/>
      <c r="Q361" s="29"/>
      <c r="R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  <c r="AX361" s="29"/>
      <c r="AY361" s="29"/>
      <c r="AZ361" s="29"/>
    </row>
    <row r="362" spans="1:52" x14ac:dyDescent="0.25">
      <c r="A362" s="29"/>
      <c r="B362" s="29"/>
      <c r="C362" s="29"/>
      <c r="D362" s="29"/>
      <c r="E362" s="29"/>
      <c r="F362" s="29"/>
      <c r="G362" s="29"/>
      <c r="H362" s="29"/>
      <c r="I362" s="29"/>
      <c r="J362" s="198"/>
      <c r="K362" s="29"/>
      <c r="L362" s="29"/>
      <c r="M362" s="29"/>
      <c r="N362" s="29"/>
      <c r="O362" s="29"/>
      <c r="P362" s="29"/>
      <c r="Q362" s="29"/>
      <c r="R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  <c r="AX362" s="29"/>
      <c r="AY362" s="29"/>
      <c r="AZ362" s="29"/>
    </row>
    <row r="363" spans="1:52" x14ac:dyDescent="0.25">
      <c r="A363" s="29"/>
      <c r="B363" s="29"/>
      <c r="C363" s="29"/>
      <c r="D363" s="29"/>
      <c r="E363" s="29"/>
      <c r="F363" s="29"/>
      <c r="G363" s="29"/>
      <c r="H363" s="29"/>
      <c r="I363" s="29"/>
      <c r="J363" s="198"/>
      <c r="K363" s="29"/>
      <c r="L363" s="29"/>
      <c r="M363" s="29"/>
      <c r="N363" s="29"/>
      <c r="O363" s="29"/>
      <c r="P363" s="29"/>
      <c r="Q363" s="29"/>
      <c r="R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  <c r="AX363" s="29"/>
      <c r="AY363" s="29"/>
      <c r="AZ363" s="29"/>
    </row>
    <row r="364" spans="1:52" x14ac:dyDescent="0.25">
      <c r="A364" s="29"/>
      <c r="B364" s="29"/>
      <c r="C364" s="29"/>
      <c r="D364" s="29"/>
      <c r="E364" s="29"/>
      <c r="F364" s="29"/>
      <c r="G364" s="29"/>
      <c r="H364" s="29"/>
      <c r="I364" s="29"/>
      <c r="J364" s="198"/>
      <c r="K364" s="29"/>
      <c r="L364" s="29"/>
      <c r="M364" s="29"/>
      <c r="N364" s="29"/>
      <c r="O364" s="29"/>
      <c r="P364" s="29"/>
      <c r="Q364" s="29"/>
      <c r="R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  <c r="AX364" s="29"/>
      <c r="AY364" s="29"/>
      <c r="AZ364" s="29"/>
    </row>
    <row r="365" spans="1:52" x14ac:dyDescent="0.25">
      <c r="A365" s="29"/>
      <c r="B365" s="29"/>
      <c r="C365" s="29"/>
      <c r="D365" s="29"/>
      <c r="E365" s="29"/>
      <c r="F365" s="29"/>
      <c r="G365" s="29"/>
      <c r="H365" s="29"/>
      <c r="I365" s="29"/>
      <c r="J365" s="198"/>
      <c r="K365" s="29"/>
      <c r="L365" s="29"/>
      <c r="M365" s="29"/>
      <c r="N365" s="29"/>
      <c r="O365" s="29"/>
      <c r="P365" s="29"/>
      <c r="Q365" s="29"/>
      <c r="R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  <c r="AX365" s="29"/>
      <c r="AY365" s="29"/>
      <c r="AZ365" s="29"/>
    </row>
    <row r="366" spans="1:52" x14ac:dyDescent="0.25">
      <c r="A366" s="29"/>
      <c r="B366" s="29"/>
      <c r="C366" s="29"/>
      <c r="D366" s="29"/>
      <c r="E366" s="29"/>
      <c r="F366" s="29"/>
      <c r="G366" s="29"/>
      <c r="H366" s="29"/>
      <c r="I366" s="29"/>
      <c r="J366" s="198"/>
      <c r="K366" s="29"/>
      <c r="L366" s="29"/>
      <c r="M366" s="29"/>
      <c r="N366" s="29"/>
      <c r="O366" s="29"/>
      <c r="P366" s="29"/>
      <c r="Q366" s="29"/>
      <c r="R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  <c r="AX366" s="29"/>
      <c r="AY366" s="29"/>
      <c r="AZ366" s="29"/>
    </row>
    <row r="367" spans="1:52" x14ac:dyDescent="0.25">
      <c r="A367" s="29"/>
      <c r="B367" s="29"/>
      <c r="C367" s="29"/>
      <c r="D367" s="29"/>
      <c r="E367" s="29"/>
      <c r="F367" s="29"/>
      <c r="G367" s="29"/>
      <c r="H367" s="29"/>
      <c r="I367" s="29"/>
      <c r="J367" s="198"/>
      <c r="K367" s="29"/>
      <c r="L367" s="29"/>
      <c r="M367" s="29"/>
      <c r="N367" s="29"/>
      <c r="O367" s="29"/>
      <c r="P367" s="29"/>
      <c r="Q367" s="29"/>
      <c r="R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  <c r="AX367" s="29"/>
      <c r="AY367" s="29"/>
      <c r="AZ367" s="29"/>
    </row>
    <row r="368" spans="1:52" x14ac:dyDescent="0.25">
      <c r="A368" s="29"/>
      <c r="B368" s="29"/>
      <c r="C368" s="29"/>
      <c r="D368" s="29"/>
      <c r="E368" s="29"/>
      <c r="F368" s="29"/>
      <c r="G368" s="29"/>
      <c r="H368" s="29"/>
      <c r="I368" s="29"/>
      <c r="J368" s="198"/>
      <c r="K368" s="29"/>
      <c r="L368" s="29"/>
      <c r="M368" s="29"/>
      <c r="N368" s="29"/>
      <c r="O368" s="29"/>
      <c r="P368" s="29"/>
      <c r="Q368" s="29"/>
      <c r="R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  <c r="AX368" s="29"/>
      <c r="AY368" s="29"/>
      <c r="AZ368" s="29"/>
    </row>
    <row r="369" spans="1:52" x14ac:dyDescent="0.25">
      <c r="A369" s="29"/>
      <c r="B369" s="29"/>
      <c r="C369" s="29"/>
      <c r="D369" s="29"/>
      <c r="E369" s="29"/>
      <c r="F369" s="29"/>
      <c r="G369" s="29"/>
      <c r="H369" s="29"/>
      <c r="I369" s="29"/>
      <c r="J369" s="198"/>
      <c r="K369" s="29"/>
      <c r="L369" s="29"/>
      <c r="M369" s="29"/>
      <c r="N369" s="29"/>
      <c r="O369" s="29"/>
      <c r="P369" s="29"/>
      <c r="Q369" s="29"/>
      <c r="R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  <c r="AX369" s="29"/>
      <c r="AY369" s="29"/>
      <c r="AZ369" s="29"/>
    </row>
    <row r="370" spans="1:52" x14ac:dyDescent="0.25">
      <c r="A370" s="29"/>
      <c r="B370" s="29"/>
      <c r="C370" s="29"/>
      <c r="D370" s="29"/>
      <c r="E370" s="29"/>
      <c r="F370" s="29"/>
      <c r="G370" s="29"/>
      <c r="H370" s="29"/>
      <c r="I370" s="29"/>
      <c r="J370" s="198"/>
      <c r="K370" s="29"/>
      <c r="L370" s="29"/>
      <c r="M370" s="29"/>
      <c r="N370" s="29"/>
      <c r="O370" s="29"/>
      <c r="P370" s="29"/>
      <c r="Q370" s="29"/>
      <c r="R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  <c r="AX370" s="29"/>
      <c r="AY370" s="29"/>
      <c r="AZ370" s="29"/>
    </row>
    <row r="371" spans="1:52" x14ac:dyDescent="0.25">
      <c r="A371" s="29"/>
      <c r="B371" s="29"/>
      <c r="C371" s="29"/>
      <c r="D371" s="29"/>
      <c r="E371" s="29"/>
      <c r="F371" s="29"/>
      <c r="G371" s="29"/>
      <c r="H371" s="29"/>
      <c r="I371" s="29"/>
      <c r="J371" s="198"/>
      <c r="K371" s="29"/>
      <c r="L371" s="29"/>
      <c r="M371" s="29"/>
      <c r="N371" s="29"/>
      <c r="O371" s="29"/>
      <c r="P371" s="29"/>
      <c r="Q371" s="29"/>
      <c r="R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  <c r="AX371" s="29"/>
      <c r="AY371" s="29"/>
      <c r="AZ371" s="29"/>
    </row>
    <row r="372" spans="1:52" x14ac:dyDescent="0.25">
      <c r="A372" s="29"/>
      <c r="B372" s="29"/>
      <c r="C372" s="29"/>
      <c r="D372" s="29"/>
      <c r="E372" s="29"/>
      <c r="F372" s="29"/>
      <c r="G372" s="29"/>
      <c r="H372" s="29"/>
      <c r="I372" s="29"/>
      <c r="J372" s="198"/>
      <c r="K372" s="29"/>
      <c r="L372" s="29"/>
      <c r="M372" s="29"/>
      <c r="N372" s="29"/>
      <c r="O372" s="29"/>
      <c r="P372" s="29"/>
      <c r="Q372" s="29"/>
      <c r="R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  <c r="AX372" s="29"/>
      <c r="AY372" s="29"/>
      <c r="AZ372" s="29"/>
    </row>
    <row r="373" spans="1:52" x14ac:dyDescent="0.25">
      <c r="A373" s="29"/>
      <c r="B373" s="29"/>
      <c r="C373" s="29"/>
      <c r="D373" s="29"/>
      <c r="E373" s="29"/>
      <c r="F373" s="29"/>
      <c r="G373" s="29"/>
      <c r="H373" s="29"/>
      <c r="I373" s="29"/>
      <c r="J373" s="198"/>
      <c r="K373" s="29"/>
      <c r="L373" s="29"/>
      <c r="M373" s="29"/>
      <c r="N373" s="29"/>
      <c r="O373" s="29"/>
      <c r="P373" s="29"/>
      <c r="Q373" s="29"/>
      <c r="R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  <c r="AX373" s="29"/>
      <c r="AY373" s="29"/>
      <c r="AZ373" s="29"/>
    </row>
    <row r="374" spans="1:52" x14ac:dyDescent="0.25">
      <c r="A374" s="29"/>
      <c r="B374" s="29"/>
      <c r="C374" s="29"/>
      <c r="D374" s="29"/>
      <c r="E374" s="29"/>
      <c r="F374" s="29"/>
      <c r="G374" s="29"/>
      <c r="H374" s="29"/>
      <c r="I374" s="29"/>
      <c r="J374" s="198"/>
      <c r="K374" s="29"/>
      <c r="L374" s="29"/>
      <c r="M374" s="29"/>
      <c r="N374" s="29"/>
      <c r="O374" s="29"/>
      <c r="P374" s="29"/>
      <c r="Q374" s="29"/>
      <c r="R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  <c r="AX374" s="29"/>
      <c r="AY374" s="29"/>
      <c r="AZ374" s="29"/>
    </row>
    <row r="375" spans="1:52" x14ac:dyDescent="0.25">
      <c r="A375" s="29"/>
      <c r="B375" s="29"/>
      <c r="C375" s="29"/>
      <c r="D375" s="29"/>
      <c r="E375" s="29"/>
      <c r="F375" s="29"/>
      <c r="G375" s="29"/>
      <c r="H375" s="29"/>
      <c r="I375" s="29"/>
      <c r="J375" s="198"/>
      <c r="K375" s="29"/>
      <c r="L375" s="29"/>
      <c r="M375" s="29"/>
      <c r="N375" s="29"/>
      <c r="O375" s="29"/>
      <c r="P375" s="29"/>
      <c r="Q375" s="29"/>
      <c r="R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  <c r="AX375" s="29"/>
      <c r="AY375" s="29"/>
      <c r="AZ375" s="29"/>
    </row>
    <row r="376" spans="1:52" x14ac:dyDescent="0.25">
      <c r="A376" s="29"/>
      <c r="B376" s="29"/>
      <c r="C376" s="29"/>
      <c r="D376" s="29"/>
      <c r="E376" s="29"/>
      <c r="F376" s="29"/>
      <c r="G376" s="29"/>
      <c r="H376" s="29"/>
      <c r="I376" s="29"/>
      <c r="J376" s="198"/>
      <c r="K376" s="29"/>
      <c r="L376" s="29"/>
      <c r="M376" s="29"/>
      <c r="N376" s="29"/>
      <c r="O376" s="29"/>
      <c r="P376" s="29"/>
      <c r="Q376" s="29"/>
      <c r="R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  <c r="AX376" s="29"/>
      <c r="AY376" s="29"/>
      <c r="AZ376" s="29"/>
    </row>
    <row r="377" spans="1:52" x14ac:dyDescent="0.25">
      <c r="A377" s="29"/>
      <c r="B377" s="29"/>
      <c r="C377" s="29"/>
      <c r="D377" s="29"/>
      <c r="E377" s="29"/>
      <c r="F377" s="29"/>
      <c r="G377" s="29"/>
      <c r="H377" s="29"/>
      <c r="I377" s="29"/>
      <c r="J377" s="198"/>
      <c r="K377" s="29"/>
      <c r="L377" s="29"/>
      <c r="M377" s="29"/>
      <c r="N377" s="29"/>
      <c r="O377" s="29"/>
      <c r="P377" s="29"/>
      <c r="Q377" s="29"/>
      <c r="R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  <c r="AX377" s="29"/>
      <c r="AY377" s="29"/>
      <c r="AZ377" s="29"/>
    </row>
    <row r="378" spans="1:52" x14ac:dyDescent="0.25">
      <c r="A378" s="29"/>
      <c r="B378" s="29"/>
      <c r="C378" s="29"/>
      <c r="D378" s="29"/>
      <c r="E378" s="29"/>
      <c r="F378" s="29"/>
      <c r="G378" s="29"/>
      <c r="H378" s="29"/>
      <c r="I378" s="29"/>
      <c r="J378" s="198"/>
      <c r="K378" s="29"/>
      <c r="L378" s="29"/>
      <c r="M378" s="29"/>
      <c r="N378" s="29"/>
      <c r="O378" s="29"/>
      <c r="P378" s="29"/>
      <c r="Q378" s="29"/>
      <c r="R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  <c r="AX378" s="29"/>
      <c r="AY378" s="29"/>
      <c r="AZ378" s="29"/>
    </row>
    <row r="379" spans="1:52" x14ac:dyDescent="0.25">
      <c r="A379" s="29"/>
      <c r="B379" s="29"/>
      <c r="C379" s="29"/>
      <c r="D379" s="29"/>
      <c r="E379" s="29"/>
      <c r="F379" s="29"/>
      <c r="G379" s="29"/>
      <c r="H379" s="29"/>
      <c r="I379" s="29"/>
      <c r="J379" s="198"/>
      <c r="K379" s="29"/>
      <c r="L379" s="29"/>
      <c r="M379" s="29"/>
      <c r="N379" s="29"/>
      <c r="O379" s="29"/>
      <c r="P379" s="29"/>
      <c r="Q379" s="29"/>
      <c r="R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  <c r="AX379" s="29"/>
      <c r="AY379" s="29"/>
      <c r="AZ379" s="29"/>
    </row>
    <row r="380" spans="1:52" x14ac:dyDescent="0.25">
      <c r="A380" s="29"/>
      <c r="B380" s="29"/>
      <c r="C380" s="29"/>
      <c r="D380" s="29"/>
      <c r="E380" s="29"/>
      <c r="F380" s="29"/>
      <c r="G380" s="29"/>
      <c r="H380" s="29"/>
      <c r="I380" s="29"/>
      <c r="J380" s="198"/>
      <c r="K380" s="29"/>
      <c r="L380" s="29"/>
      <c r="M380" s="29"/>
      <c r="N380" s="29"/>
      <c r="O380" s="29"/>
      <c r="P380" s="29"/>
      <c r="Q380" s="29"/>
      <c r="R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  <c r="AX380" s="29"/>
      <c r="AY380" s="29"/>
      <c r="AZ380" s="29"/>
    </row>
    <row r="381" spans="1:52" x14ac:dyDescent="0.25">
      <c r="A381" s="29"/>
      <c r="B381" s="29"/>
      <c r="C381" s="29"/>
      <c r="D381" s="29"/>
      <c r="E381" s="29"/>
      <c r="F381" s="29"/>
      <c r="G381" s="29"/>
      <c r="H381" s="29"/>
      <c r="I381" s="29"/>
      <c r="J381" s="198"/>
      <c r="K381" s="29"/>
      <c r="L381" s="29"/>
      <c r="M381" s="29"/>
      <c r="N381" s="29"/>
      <c r="O381" s="29"/>
      <c r="P381" s="29"/>
      <c r="Q381" s="29"/>
      <c r="R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  <c r="AX381" s="29"/>
      <c r="AY381" s="29"/>
      <c r="AZ381" s="29"/>
    </row>
    <row r="382" spans="1:52" x14ac:dyDescent="0.25">
      <c r="A382" s="29"/>
      <c r="B382" s="29"/>
      <c r="C382" s="29"/>
      <c r="D382" s="29"/>
      <c r="E382" s="29"/>
      <c r="F382" s="29"/>
      <c r="G382" s="29"/>
      <c r="H382" s="29"/>
      <c r="I382" s="29"/>
      <c r="J382" s="198"/>
      <c r="K382" s="29"/>
      <c r="L382" s="29"/>
      <c r="M382" s="29"/>
      <c r="N382" s="29"/>
      <c r="O382" s="29"/>
      <c r="P382" s="29"/>
      <c r="Q382" s="29"/>
      <c r="R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  <c r="AX382" s="29"/>
      <c r="AY382" s="29"/>
      <c r="AZ382" s="29"/>
    </row>
    <row r="383" spans="1:52" x14ac:dyDescent="0.25">
      <c r="A383" s="29"/>
      <c r="B383" s="29"/>
      <c r="C383" s="29"/>
      <c r="D383" s="29"/>
      <c r="E383" s="29"/>
      <c r="F383" s="29"/>
      <c r="G383" s="53"/>
      <c r="H383" s="54"/>
      <c r="I383" s="35"/>
      <c r="J383" s="198"/>
      <c r="K383" s="29"/>
      <c r="L383" s="29"/>
      <c r="M383" s="29"/>
      <c r="O383" s="29"/>
      <c r="P383" s="29"/>
      <c r="Q383" s="29"/>
      <c r="R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  <c r="AX383" s="29"/>
      <c r="AY383" s="29"/>
      <c r="AZ383" s="29"/>
    </row>
    <row r="384" spans="1:52" x14ac:dyDescent="0.25">
      <c r="A384" s="29"/>
      <c r="B384" s="29"/>
      <c r="C384" s="29"/>
      <c r="D384" s="29"/>
      <c r="E384" s="29"/>
      <c r="F384" s="29"/>
      <c r="G384" s="53"/>
      <c r="H384" s="54"/>
      <c r="I384" s="35"/>
      <c r="J384" s="198"/>
      <c r="K384" s="29"/>
      <c r="L384" s="29"/>
      <c r="M384" s="29"/>
      <c r="O384" s="29"/>
      <c r="P384" s="29"/>
      <c r="Q384" s="29"/>
      <c r="R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  <c r="AX384" s="29"/>
      <c r="AY384" s="29"/>
      <c r="AZ384" s="29"/>
    </row>
    <row r="385" spans="1:52" x14ac:dyDescent="0.25">
      <c r="A385" s="29"/>
      <c r="B385" s="29"/>
      <c r="C385" s="29"/>
      <c r="D385" s="29"/>
      <c r="E385" s="29"/>
      <c r="F385" s="29"/>
      <c r="G385" s="53"/>
      <c r="H385" s="54"/>
      <c r="I385" s="35"/>
      <c r="J385" s="198"/>
      <c r="K385" s="29"/>
      <c r="L385" s="29"/>
      <c r="M385" s="29"/>
      <c r="O385" s="29"/>
      <c r="P385" s="29"/>
      <c r="Q385" s="29"/>
      <c r="R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  <c r="AX385" s="29"/>
      <c r="AY385" s="29"/>
      <c r="AZ385" s="29"/>
    </row>
    <row r="386" spans="1:52" x14ac:dyDescent="0.25">
      <c r="A386" s="29"/>
      <c r="B386" s="29"/>
      <c r="C386" s="29"/>
      <c r="D386" s="29"/>
      <c r="E386" s="29"/>
      <c r="F386" s="29"/>
      <c r="G386" s="53"/>
      <c r="H386" s="54"/>
      <c r="I386" s="35"/>
      <c r="J386" s="198"/>
      <c r="K386" s="29"/>
      <c r="L386" s="29"/>
      <c r="M386" s="29"/>
      <c r="O386" s="29"/>
      <c r="P386" s="29"/>
      <c r="Q386" s="29"/>
      <c r="R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  <c r="AX386" s="29"/>
      <c r="AY386" s="29"/>
      <c r="AZ386" s="29"/>
    </row>
    <row r="387" spans="1:52" x14ac:dyDescent="0.25">
      <c r="A387" s="29"/>
      <c r="B387" s="29"/>
      <c r="C387" s="29"/>
      <c r="D387" s="29"/>
      <c r="E387" s="29"/>
      <c r="F387" s="29"/>
      <c r="G387" s="53"/>
      <c r="H387" s="54"/>
      <c r="I387" s="35"/>
      <c r="J387" s="198"/>
      <c r="K387" s="29"/>
      <c r="L387" s="29"/>
      <c r="M387" s="29"/>
      <c r="O387" s="29"/>
      <c r="P387" s="29"/>
      <c r="Q387" s="29"/>
      <c r="R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  <c r="AX387" s="29"/>
      <c r="AY387" s="29"/>
      <c r="AZ387" s="29"/>
    </row>
    <row r="388" spans="1:52" x14ac:dyDescent="0.25">
      <c r="A388" s="29"/>
      <c r="B388" s="29"/>
      <c r="C388" s="29"/>
      <c r="D388" s="29"/>
      <c r="E388" s="29"/>
      <c r="F388" s="29"/>
      <c r="G388" s="53"/>
      <c r="H388" s="54"/>
      <c r="I388" s="35"/>
      <c r="J388" s="198"/>
      <c r="K388" s="29"/>
      <c r="L388" s="29"/>
      <c r="M388" s="29"/>
      <c r="O388" s="29"/>
      <c r="P388" s="29"/>
      <c r="Q388" s="29"/>
      <c r="R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  <c r="AX388" s="29"/>
      <c r="AY388" s="29"/>
      <c r="AZ388" s="29"/>
    </row>
    <row r="389" spans="1:52" x14ac:dyDescent="0.25">
      <c r="A389" s="29"/>
      <c r="B389" s="29"/>
      <c r="C389" s="29"/>
      <c r="D389" s="29"/>
      <c r="E389" s="29"/>
      <c r="F389" s="29"/>
      <c r="G389" s="53"/>
      <c r="H389" s="54"/>
      <c r="I389" s="35"/>
      <c r="J389" s="198"/>
      <c r="K389" s="29"/>
      <c r="L389" s="29"/>
      <c r="M389" s="29"/>
      <c r="O389" s="29"/>
      <c r="P389" s="29"/>
      <c r="Q389" s="29"/>
      <c r="R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  <c r="AX389" s="29"/>
      <c r="AY389" s="29"/>
      <c r="AZ389" s="29"/>
    </row>
    <row r="390" spans="1:52" x14ac:dyDescent="0.25">
      <c r="A390" s="29"/>
      <c r="B390" s="29"/>
      <c r="C390" s="29"/>
      <c r="D390" s="29"/>
      <c r="E390" s="29"/>
      <c r="F390" s="29"/>
      <c r="G390" s="53"/>
      <c r="H390" s="54"/>
      <c r="I390" s="35"/>
      <c r="J390" s="198"/>
      <c r="K390" s="29"/>
      <c r="L390" s="29"/>
      <c r="M390" s="29"/>
      <c r="O390" s="29"/>
      <c r="P390" s="29"/>
      <c r="Q390" s="29"/>
      <c r="R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  <c r="AX390" s="29"/>
      <c r="AY390" s="29"/>
      <c r="AZ390" s="29"/>
    </row>
  </sheetData>
  <protectedRanges>
    <protectedRange sqref="S1:S1048576" name="Диапазон6"/>
    <protectedRange sqref="P1:Q1048576" name="Диапазон5"/>
    <protectedRange sqref="N1:N1048576" name="Диапазон4"/>
    <protectedRange sqref="I1:I1048576" name="Диапазон3"/>
    <protectedRange sqref="H4:H250" name="Диапазон1"/>
    <protectedRange sqref="K1:L1048576" name="Диапазон2"/>
    <protectedRange sqref="G1:G1048576" name="Диапазон7"/>
  </protectedRanges>
  <pageMargins left="0" right="0" top="0.74803149606299213" bottom="0.74803149606299213" header="0.31496062992125984" footer="0.31496062992125984"/>
  <pageSetup paperSize="9" scale="7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107" r:id="rId4" name="CommandButton14">
          <controlPr defaultSize="0" autoLine="0" r:id="rId5">
            <anchor moveWithCells="1">
              <from>
                <xdr:col>27</xdr:col>
                <xdr:colOff>38100</xdr:colOff>
                <xdr:row>0</xdr:row>
                <xdr:rowOff>1895475</xdr:rowOff>
              </from>
              <to>
                <xdr:col>27</xdr:col>
                <xdr:colOff>361950</xdr:colOff>
                <xdr:row>0</xdr:row>
                <xdr:rowOff>2162175</xdr:rowOff>
              </to>
            </anchor>
          </controlPr>
        </control>
      </mc:Choice>
      <mc:Fallback>
        <control shapeId="1107" r:id="rId4" name="CommandButton14"/>
      </mc:Fallback>
    </mc:AlternateContent>
    <mc:AlternateContent xmlns:mc="http://schemas.openxmlformats.org/markup-compatibility/2006">
      <mc:Choice Requires="x14">
        <control shapeId="1106" r:id="rId6" name="CommandButton13">
          <controlPr defaultSize="0" autoLine="0" r:id="rId7">
            <anchor moveWithCells="1">
              <from>
                <xdr:col>26</xdr:col>
                <xdr:colOff>276225</xdr:colOff>
                <xdr:row>0</xdr:row>
                <xdr:rowOff>1885950</xdr:rowOff>
              </from>
              <to>
                <xdr:col>27</xdr:col>
                <xdr:colOff>9525</xdr:colOff>
                <xdr:row>0</xdr:row>
                <xdr:rowOff>2152650</xdr:rowOff>
              </to>
            </anchor>
          </controlPr>
        </control>
      </mc:Choice>
      <mc:Fallback>
        <control shapeId="1106" r:id="rId6" name="CommandButton13"/>
      </mc:Fallback>
    </mc:AlternateContent>
    <mc:AlternateContent xmlns:mc="http://schemas.openxmlformats.org/markup-compatibility/2006">
      <mc:Choice Requires="x14">
        <control shapeId="1105" r:id="rId8" name="CommandButton12">
          <controlPr defaultSize="0" autoLine="0" r:id="rId9">
            <anchor moveWithCells="1">
              <from>
                <xdr:col>25</xdr:col>
                <xdr:colOff>428625</xdr:colOff>
                <xdr:row>0</xdr:row>
                <xdr:rowOff>1885950</xdr:rowOff>
              </from>
              <to>
                <xdr:col>26</xdr:col>
                <xdr:colOff>228600</xdr:colOff>
                <xdr:row>0</xdr:row>
                <xdr:rowOff>2152650</xdr:rowOff>
              </to>
            </anchor>
          </controlPr>
        </control>
      </mc:Choice>
      <mc:Fallback>
        <control shapeId="1105" r:id="rId8" name="CommandButton12"/>
      </mc:Fallback>
    </mc:AlternateContent>
    <mc:AlternateContent xmlns:mc="http://schemas.openxmlformats.org/markup-compatibility/2006">
      <mc:Choice Requires="x14">
        <control shapeId="1104" r:id="rId10" name="CommandButton11">
          <controlPr defaultSize="0" autoLine="0" r:id="rId11">
            <anchor moveWithCells="1">
              <from>
                <xdr:col>25</xdr:col>
                <xdr:colOff>85725</xdr:colOff>
                <xdr:row>0</xdr:row>
                <xdr:rowOff>1885950</xdr:rowOff>
              </from>
              <to>
                <xdr:col>25</xdr:col>
                <xdr:colOff>409575</xdr:colOff>
                <xdr:row>0</xdr:row>
                <xdr:rowOff>2152650</xdr:rowOff>
              </to>
            </anchor>
          </controlPr>
        </control>
      </mc:Choice>
      <mc:Fallback>
        <control shapeId="1104" r:id="rId10" name="CommandButton11"/>
      </mc:Fallback>
    </mc:AlternateContent>
    <mc:AlternateContent xmlns:mc="http://schemas.openxmlformats.org/markup-compatibility/2006">
      <mc:Choice Requires="x14">
        <control shapeId="1099" r:id="rId12" name="CommandButton10">
          <controlPr defaultSize="0" autoLine="0" r:id="rId13">
            <anchor moveWithCells="1">
              <from>
                <xdr:col>24</xdr:col>
                <xdr:colOff>209550</xdr:colOff>
                <xdr:row>0</xdr:row>
                <xdr:rowOff>1876425</xdr:rowOff>
              </from>
              <to>
                <xdr:col>25</xdr:col>
                <xdr:colOff>38100</xdr:colOff>
                <xdr:row>0</xdr:row>
                <xdr:rowOff>2143125</xdr:rowOff>
              </to>
            </anchor>
          </controlPr>
        </control>
      </mc:Choice>
      <mc:Fallback>
        <control shapeId="1099" r:id="rId12" name="CommandButton10"/>
      </mc:Fallback>
    </mc:AlternateContent>
    <mc:AlternateContent xmlns:mc="http://schemas.openxmlformats.org/markup-compatibility/2006">
      <mc:Choice Requires="x14">
        <control shapeId="1098" r:id="rId14" name="CommandButton9">
          <controlPr defaultSize="0" autoLine="0" r:id="rId15">
            <anchor moveWithCells="1">
              <from>
                <xdr:col>27</xdr:col>
                <xdr:colOff>38100</xdr:colOff>
                <xdr:row>0</xdr:row>
                <xdr:rowOff>1600200</xdr:rowOff>
              </from>
              <to>
                <xdr:col>27</xdr:col>
                <xdr:colOff>361950</xdr:colOff>
                <xdr:row>0</xdr:row>
                <xdr:rowOff>1866900</xdr:rowOff>
              </to>
            </anchor>
          </controlPr>
        </control>
      </mc:Choice>
      <mc:Fallback>
        <control shapeId="1098" r:id="rId14" name="CommandButton9"/>
      </mc:Fallback>
    </mc:AlternateContent>
    <mc:AlternateContent xmlns:mc="http://schemas.openxmlformats.org/markup-compatibility/2006">
      <mc:Choice Requires="x14">
        <control shapeId="1097" r:id="rId16" name="CommandButton8">
          <controlPr defaultSize="0" autoLine="0" r:id="rId17">
            <anchor moveWithCells="1">
              <from>
                <xdr:col>26</xdr:col>
                <xdr:colOff>285750</xdr:colOff>
                <xdr:row>0</xdr:row>
                <xdr:rowOff>1600200</xdr:rowOff>
              </from>
              <to>
                <xdr:col>27</xdr:col>
                <xdr:colOff>19050</xdr:colOff>
                <xdr:row>0</xdr:row>
                <xdr:rowOff>1866900</xdr:rowOff>
              </to>
            </anchor>
          </controlPr>
        </control>
      </mc:Choice>
      <mc:Fallback>
        <control shapeId="1097" r:id="rId16" name="CommandButton8"/>
      </mc:Fallback>
    </mc:AlternateContent>
    <mc:AlternateContent xmlns:mc="http://schemas.openxmlformats.org/markup-compatibility/2006">
      <mc:Choice Requires="x14">
        <control shapeId="1096" r:id="rId18" name="CommandButton7">
          <controlPr defaultSize="0" autoLine="0" r:id="rId19">
            <anchor moveWithCells="1">
              <from>
                <xdr:col>25</xdr:col>
                <xdr:colOff>438150</xdr:colOff>
                <xdr:row>0</xdr:row>
                <xdr:rowOff>1600200</xdr:rowOff>
              </from>
              <to>
                <xdr:col>26</xdr:col>
                <xdr:colOff>238125</xdr:colOff>
                <xdr:row>0</xdr:row>
                <xdr:rowOff>1866900</xdr:rowOff>
              </to>
            </anchor>
          </controlPr>
        </control>
      </mc:Choice>
      <mc:Fallback>
        <control shapeId="1096" r:id="rId18" name="CommandButton7"/>
      </mc:Fallback>
    </mc:AlternateContent>
    <mc:AlternateContent xmlns:mc="http://schemas.openxmlformats.org/markup-compatibility/2006">
      <mc:Choice Requires="x14">
        <control shapeId="1095" r:id="rId20" name="CommandButton5">
          <controlPr defaultSize="0" autoLine="0" r:id="rId21">
            <anchor moveWithCells="1">
              <from>
                <xdr:col>25</xdr:col>
                <xdr:colOff>85725</xdr:colOff>
                <xdr:row>0</xdr:row>
                <xdr:rowOff>1609725</xdr:rowOff>
              </from>
              <to>
                <xdr:col>25</xdr:col>
                <xdr:colOff>409575</xdr:colOff>
                <xdr:row>0</xdr:row>
                <xdr:rowOff>1876425</xdr:rowOff>
              </to>
            </anchor>
          </controlPr>
        </control>
      </mc:Choice>
      <mc:Fallback>
        <control shapeId="1095" r:id="rId20" name="CommandButton5"/>
      </mc:Fallback>
    </mc:AlternateContent>
    <mc:AlternateContent xmlns:mc="http://schemas.openxmlformats.org/markup-compatibility/2006">
      <mc:Choice Requires="x14">
        <control shapeId="1087" r:id="rId22" name="CommandButton6">
          <controlPr defaultSize="0" autoLine="0" r:id="rId23">
            <anchor moveWithCells="1">
              <from>
                <xdr:col>24</xdr:col>
                <xdr:colOff>209550</xdr:colOff>
                <xdr:row>0</xdr:row>
                <xdr:rowOff>1609725</xdr:rowOff>
              </from>
              <to>
                <xdr:col>25</xdr:col>
                <xdr:colOff>38100</xdr:colOff>
                <xdr:row>0</xdr:row>
                <xdr:rowOff>1876425</xdr:rowOff>
              </to>
            </anchor>
          </controlPr>
        </control>
      </mc:Choice>
      <mc:Fallback>
        <control shapeId="1087" r:id="rId22" name="CommandButton6"/>
      </mc:Fallback>
    </mc:AlternateContent>
    <mc:AlternateContent xmlns:mc="http://schemas.openxmlformats.org/markup-compatibility/2006">
      <mc:Choice Requires="x14">
        <control shapeId="1085" r:id="rId24" name="CommandButton4">
          <controlPr defaultSize="0" autoLine="0" r:id="rId25">
            <anchor moveWithCells="1">
              <from>
                <xdr:col>25</xdr:col>
                <xdr:colOff>95250</xdr:colOff>
                <xdr:row>0</xdr:row>
                <xdr:rowOff>1266825</xdr:rowOff>
              </from>
              <to>
                <xdr:col>26</xdr:col>
                <xdr:colOff>571500</xdr:colOff>
                <xdr:row>0</xdr:row>
                <xdr:rowOff>1543050</xdr:rowOff>
              </to>
            </anchor>
          </controlPr>
        </control>
      </mc:Choice>
      <mc:Fallback>
        <control shapeId="1085" r:id="rId24" name="CommandButton4"/>
      </mc:Fallback>
    </mc:AlternateContent>
    <mc:AlternateContent xmlns:mc="http://schemas.openxmlformats.org/markup-compatibility/2006">
      <mc:Choice Requires="x14">
        <control shapeId="1049" r:id="rId26" name="CommandButton3">
          <controlPr defaultSize="0" autoLine="0" r:id="rId27">
            <anchor moveWithCells="1">
              <from>
                <xdr:col>24</xdr:col>
                <xdr:colOff>66675</xdr:colOff>
                <xdr:row>0</xdr:row>
                <xdr:rowOff>647700</xdr:rowOff>
              </from>
              <to>
                <xdr:col>27</xdr:col>
                <xdr:colOff>561975</xdr:colOff>
                <xdr:row>0</xdr:row>
                <xdr:rowOff>1152525</xdr:rowOff>
              </to>
            </anchor>
          </controlPr>
        </control>
      </mc:Choice>
      <mc:Fallback>
        <control shapeId="1049" r:id="rId26" name="CommandButton3"/>
      </mc:Fallback>
    </mc:AlternateContent>
    <mc:AlternateContent xmlns:mc="http://schemas.openxmlformats.org/markup-compatibility/2006">
      <mc:Choice Requires="x14">
        <control shapeId="1029" r:id="rId28" name="CommandButton2">
          <controlPr defaultSize="0" autoLine="0" r:id="rId29">
            <anchor moveWithCells="1">
              <from>
                <xdr:col>24</xdr:col>
                <xdr:colOff>66675</xdr:colOff>
                <xdr:row>0</xdr:row>
                <xdr:rowOff>314325</xdr:rowOff>
              </from>
              <to>
                <xdr:col>26</xdr:col>
                <xdr:colOff>76200</xdr:colOff>
                <xdr:row>0</xdr:row>
                <xdr:rowOff>600075</xdr:rowOff>
              </to>
            </anchor>
          </controlPr>
        </control>
      </mc:Choice>
      <mc:Fallback>
        <control shapeId="1029" r:id="rId28" name="CommandButton2"/>
      </mc:Fallback>
    </mc:AlternateContent>
    <mc:AlternateContent xmlns:mc="http://schemas.openxmlformats.org/markup-compatibility/2006">
      <mc:Choice Requires="x14">
        <control shapeId="1027" r:id="rId30" name="CommandButton1">
          <controlPr defaultSize="0" autoLine="0" r:id="rId31">
            <anchor moveWithCells="1">
              <from>
                <xdr:col>26</xdr:col>
                <xdr:colOff>114300</xdr:colOff>
                <xdr:row>0</xdr:row>
                <xdr:rowOff>314325</xdr:rowOff>
              </from>
              <to>
                <xdr:col>27</xdr:col>
                <xdr:colOff>561975</xdr:colOff>
                <xdr:row>0</xdr:row>
                <xdr:rowOff>600075</xdr:rowOff>
              </to>
            </anchor>
          </controlPr>
        </control>
      </mc:Choice>
      <mc:Fallback>
        <control shapeId="1027" r:id="rId30" name="CommandButton1"/>
      </mc:Fallback>
    </mc:AlternateContent>
    <mc:AlternateContent xmlns:mc="http://schemas.openxmlformats.org/markup-compatibility/2006">
      <mc:Choice Requires="x14">
        <control shapeId="1026" r:id="rId32" name="ComboBox1">
          <controlPr defaultSize="0" autoLine="0" r:id="rId33">
            <anchor moveWithCells="1">
              <from>
                <xdr:col>24</xdr:col>
                <xdr:colOff>57150</xdr:colOff>
                <xdr:row>0</xdr:row>
                <xdr:rowOff>38100</xdr:rowOff>
              </from>
              <to>
                <xdr:col>27</xdr:col>
                <xdr:colOff>552450</xdr:colOff>
                <xdr:row>0</xdr:row>
                <xdr:rowOff>295275</xdr:rowOff>
              </to>
            </anchor>
          </controlPr>
        </control>
      </mc:Choice>
      <mc:Fallback>
        <control shapeId="1026" r:id="rId32" name="ComboBox1"/>
      </mc:Fallback>
    </mc:AlternateContent>
  </controls>
  <tableParts count="1">
    <tablePart r:id="rId3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B9BAA-9F80-4691-ABCA-EF507ACB0655}">
  <sheetPr codeName="T2"/>
  <dimension ref="B7:V25"/>
  <sheetViews>
    <sheetView workbookViewId="0">
      <selection activeCell="D26" sqref="D26"/>
    </sheetView>
    <sheetView workbookViewId="1"/>
  </sheetViews>
  <sheetFormatPr defaultRowHeight="15" x14ac:dyDescent="0.25"/>
  <cols>
    <col min="7" max="7" width="11.140625" customWidth="1"/>
    <col min="8" max="8" width="12.42578125" customWidth="1"/>
    <col min="10" max="10" width="12.42578125" customWidth="1"/>
    <col min="11" max="11" width="2.28515625" customWidth="1"/>
    <col min="12" max="12" width="7.5703125" customWidth="1"/>
    <col min="13" max="13" width="3" customWidth="1"/>
    <col min="14" max="14" width="6" customWidth="1"/>
    <col min="17" max="17" width="11.42578125" customWidth="1"/>
    <col min="18" max="18" width="11.85546875" customWidth="1"/>
    <col min="19" max="19" width="16.140625" customWidth="1"/>
    <col min="20" max="20" width="13.7109375" customWidth="1"/>
    <col min="21" max="21" width="14.85546875" customWidth="1"/>
    <col min="22" max="22" width="12.28515625" customWidth="1"/>
  </cols>
  <sheetData>
    <row r="7" spans="2:22" ht="15.75" customHeight="1" x14ac:dyDescent="0.25">
      <c r="E7" s="1" t="s">
        <v>19</v>
      </c>
      <c r="F7" s="2" t="s">
        <v>3</v>
      </c>
      <c r="G7" s="3" t="s">
        <v>6</v>
      </c>
      <c r="H7" s="2" t="s">
        <v>0</v>
      </c>
      <c r="I7" s="2" t="s">
        <v>10</v>
      </c>
      <c r="J7" s="2" t="s">
        <v>1</v>
      </c>
      <c r="K7" s="2"/>
      <c r="L7" s="3" t="s">
        <v>6</v>
      </c>
      <c r="M7" s="2" t="s">
        <v>0</v>
      </c>
      <c r="N7" s="2" t="s">
        <v>10</v>
      </c>
      <c r="O7" s="2" t="s">
        <v>1</v>
      </c>
      <c r="P7" s="4"/>
      <c r="Q7" s="5" t="s">
        <v>2</v>
      </c>
      <c r="R7" s="6" t="s">
        <v>4</v>
      </c>
      <c r="S7" s="6" t="s">
        <v>5</v>
      </c>
      <c r="T7" s="7" t="s">
        <v>25</v>
      </c>
      <c r="U7" s="7" t="s">
        <v>26</v>
      </c>
      <c r="V7" s="6" t="s">
        <v>24</v>
      </c>
    </row>
    <row r="10" spans="2:22" ht="15.75" thickBot="1" x14ac:dyDescent="0.3">
      <c r="B10" s="36"/>
      <c r="C10" s="40" t="s">
        <v>22</v>
      </c>
      <c r="D10" s="41" t="s">
        <v>4</v>
      </c>
      <c r="E10" s="41" t="s">
        <v>1</v>
      </c>
      <c r="F10" s="45" t="s">
        <v>21</v>
      </c>
      <c r="G10" s="41" t="s">
        <v>11</v>
      </c>
      <c r="H10" s="41" t="s">
        <v>27</v>
      </c>
      <c r="I10" s="36"/>
      <c r="J10" s="36"/>
    </row>
    <row r="11" spans="2:22" ht="15.75" thickTop="1" x14ac:dyDescent="0.25">
      <c r="B11" s="40" t="s">
        <v>13</v>
      </c>
      <c r="C11" s="42">
        <v>1</v>
      </c>
      <c r="D11" s="9"/>
      <c r="E11" s="9"/>
      <c r="F11" s="10"/>
      <c r="G11" s="36"/>
      <c r="H11" s="36"/>
      <c r="I11" s="36"/>
      <c r="J11" s="36"/>
    </row>
    <row r="12" spans="2:22" x14ac:dyDescent="0.25">
      <c r="B12" s="40" t="s">
        <v>14</v>
      </c>
      <c r="C12" s="43">
        <v>2</v>
      </c>
      <c r="D12" s="11"/>
      <c r="E12" s="11"/>
      <c r="F12" s="12"/>
      <c r="G12" s="36"/>
      <c r="H12" s="36"/>
      <c r="I12" s="36"/>
      <c r="J12" s="36"/>
    </row>
    <row r="13" spans="2:22" ht="15.75" thickBot="1" x14ac:dyDescent="0.3">
      <c r="B13" s="40" t="s">
        <v>15</v>
      </c>
      <c r="C13" s="44">
        <v>3</v>
      </c>
      <c r="D13" s="20"/>
      <c r="E13" s="20"/>
      <c r="F13" s="21"/>
      <c r="G13" s="36"/>
      <c r="H13" s="36"/>
      <c r="I13" s="36"/>
      <c r="J13" s="36"/>
    </row>
    <row r="14" spans="2:22" ht="15.75" thickTop="1" x14ac:dyDescent="0.25">
      <c r="B14" s="40"/>
      <c r="C14" s="42">
        <v>4</v>
      </c>
      <c r="D14" s="9"/>
      <c r="E14" s="9"/>
      <c r="F14" s="10"/>
      <c r="G14" s="39"/>
      <c r="H14" s="36"/>
      <c r="I14" s="36"/>
      <c r="J14" s="36"/>
    </row>
    <row r="15" spans="2:22" x14ac:dyDescent="0.25">
      <c r="B15" s="40"/>
      <c r="C15" s="43">
        <v>5</v>
      </c>
      <c r="D15" s="11"/>
      <c r="E15" s="11"/>
      <c r="F15" s="12"/>
      <c r="G15" s="39"/>
      <c r="H15" s="36"/>
      <c r="I15" s="36"/>
      <c r="J15" s="36"/>
    </row>
    <row r="16" spans="2:22" ht="15.75" thickBot="1" x14ac:dyDescent="0.3">
      <c r="B16" s="40"/>
      <c r="C16" s="44">
        <v>6</v>
      </c>
      <c r="D16" s="20"/>
      <c r="E16" s="20"/>
      <c r="F16" s="21"/>
      <c r="G16" s="39"/>
      <c r="H16" s="36"/>
      <c r="I16" s="36"/>
      <c r="J16" s="36"/>
    </row>
    <row r="17" spans="2:10" ht="15.75" thickTop="1" x14ac:dyDescent="0.25">
      <c r="B17" s="40"/>
      <c r="C17" s="42">
        <v>7</v>
      </c>
      <c r="D17" s="9"/>
      <c r="E17" s="9"/>
      <c r="F17" s="10"/>
      <c r="G17" s="39"/>
      <c r="H17" s="36"/>
      <c r="I17" s="36"/>
      <c r="J17" s="36"/>
    </row>
    <row r="18" spans="2:10" x14ac:dyDescent="0.25">
      <c r="B18" s="40"/>
      <c r="C18" s="43">
        <v>8</v>
      </c>
      <c r="D18" s="11"/>
      <c r="E18" s="11"/>
      <c r="F18" s="12"/>
      <c r="G18" s="39"/>
      <c r="H18" s="36"/>
      <c r="I18" s="36"/>
      <c r="J18" s="36"/>
    </row>
    <row r="19" spans="2:10" ht="15.75" thickBot="1" x14ac:dyDescent="0.3">
      <c r="B19" s="40"/>
      <c r="C19" s="44">
        <v>9</v>
      </c>
      <c r="D19" s="20"/>
      <c r="E19" s="20"/>
      <c r="F19" s="21"/>
      <c r="G19" s="39"/>
      <c r="H19" s="36"/>
      <c r="I19" s="36"/>
      <c r="J19" s="36"/>
    </row>
    <row r="20" spans="2:10" ht="15.75" thickTop="1" x14ac:dyDescent="0.25">
      <c r="B20" s="40"/>
      <c r="C20" s="42">
        <v>10</v>
      </c>
      <c r="D20" s="9"/>
      <c r="E20" s="9"/>
      <c r="F20" s="10"/>
      <c r="G20" s="46"/>
      <c r="H20" s="46"/>
      <c r="I20" s="36"/>
      <c r="J20" s="40"/>
    </row>
    <row r="21" spans="2:10" x14ac:dyDescent="0.25">
      <c r="B21" s="40"/>
      <c r="C21" s="43">
        <v>11</v>
      </c>
      <c r="D21" s="11"/>
      <c r="E21" s="11"/>
      <c r="F21" s="12"/>
      <c r="G21" s="47"/>
      <c r="H21" s="47"/>
      <c r="I21" s="36"/>
      <c r="J21" s="40"/>
    </row>
    <row r="22" spans="2:10" ht="15.75" thickBot="1" x14ac:dyDescent="0.3">
      <c r="B22" s="40"/>
      <c r="C22" s="44">
        <v>12</v>
      </c>
      <c r="D22" s="20"/>
      <c r="E22" s="20"/>
      <c r="F22" s="21"/>
      <c r="G22" s="48"/>
      <c r="H22" s="48"/>
      <c r="I22" s="36"/>
      <c r="J22" s="40"/>
    </row>
    <row r="23" spans="2:10" ht="16.5" thickTop="1" x14ac:dyDescent="0.25">
      <c r="B23" s="36"/>
      <c r="C23" s="27" t="s">
        <v>23</v>
      </c>
      <c r="D23" s="28"/>
      <c r="E23" s="28"/>
      <c r="F23" s="27"/>
      <c r="G23" s="51"/>
      <c r="H23" s="28"/>
      <c r="I23" s="40"/>
      <c r="J23" s="40"/>
    </row>
    <row r="24" spans="2:10" ht="15.75" x14ac:dyDescent="0.25">
      <c r="B24" s="36"/>
      <c r="C24" s="52" t="s">
        <v>38</v>
      </c>
      <c r="D24" s="55"/>
      <c r="E24" s="56"/>
      <c r="F24" s="40" t="s">
        <v>39</v>
      </c>
      <c r="G24" s="36"/>
      <c r="H24" s="36"/>
      <c r="I24" s="36"/>
      <c r="J24" s="36"/>
    </row>
    <row r="25" spans="2:10" x14ac:dyDescent="0.25">
      <c r="B25" s="36"/>
      <c r="C25" s="36"/>
      <c r="D25" s="36"/>
      <c r="E25" s="36"/>
      <c r="F25" s="36"/>
      <c r="G25" s="36"/>
      <c r="H25" s="36"/>
      <c r="I25" s="36"/>
      <c r="J25" s="36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1EDBA-5934-48C4-9D7F-F1E7CE6505E2}">
  <sheetPr codeName="T3"/>
  <dimension ref="A1:X6"/>
  <sheetViews>
    <sheetView workbookViewId="0">
      <selection activeCell="K10" sqref="K10"/>
    </sheetView>
    <sheetView workbookViewId="1"/>
  </sheetViews>
  <sheetFormatPr defaultRowHeight="15" x14ac:dyDescent="0.25"/>
  <cols>
    <col min="1" max="1" width="8" style="8" customWidth="1"/>
    <col min="2" max="2" width="8.140625" style="8" customWidth="1"/>
    <col min="3" max="5" width="9.140625" style="8"/>
    <col min="6" max="6" width="8.85546875" style="8" customWidth="1"/>
    <col min="7" max="16384" width="9.140625" style="8"/>
  </cols>
  <sheetData>
    <row r="1" spans="1:24" x14ac:dyDescent="0.25">
      <c r="A1" s="81">
        <v>8</v>
      </c>
      <c r="B1" s="81">
        <v>8</v>
      </c>
      <c r="C1" s="82">
        <v>7</v>
      </c>
      <c r="D1" s="82">
        <v>7</v>
      </c>
      <c r="E1" s="83">
        <v>6</v>
      </c>
      <c r="F1" s="83">
        <v>7</v>
      </c>
      <c r="G1" s="84"/>
      <c r="H1" s="84"/>
      <c r="I1" s="85"/>
      <c r="J1" s="85"/>
      <c r="K1" s="86"/>
      <c r="L1" s="86"/>
      <c r="M1" s="87"/>
      <c r="N1" s="87"/>
      <c r="O1" s="88"/>
      <c r="P1" s="88"/>
      <c r="Q1" s="89"/>
      <c r="R1" s="89"/>
      <c r="S1" s="90"/>
      <c r="T1" s="90"/>
      <c r="U1" s="91"/>
      <c r="V1" s="91"/>
      <c r="W1" s="92"/>
      <c r="X1" s="92"/>
    </row>
    <row r="2" spans="1:24" x14ac:dyDescent="0.25">
      <c r="A2" s="81">
        <v>8</v>
      </c>
      <c r="B2" s="81">
        <v>8</v>
      </c>
      <c r="C2" s="82">
        <v>6</v>
      </c>
      <c r="D2" s="82">
        <v>7</v>
      </c>
      <c r="E2" s="83">
        <v>8</v>
      </c>
      <c r="F2" s="83">
        <v>6</v>
      </c>
      <c r="G2" s="84"/>
      <c r="H2" s="84"/>
      <c r="I2" s="85"/>
      <c r="J2" s="85"/>
      <c r="K2" s="86"/>
      <c r="L2" s="86"/>
      <c r="M2" s="87"/>
      <c r="N2" s="87"/>
      <c r="O2" s="88"/>
      <c r="P2" s="88"/>
      <c r="Q2" s="89"/>
      <c r="R2" s="89"/>
      <c r="S2" s="90"/>
      <c r="T2" s="90"/>
      <c r="U2" s="91"/>
      <c r="V2" s="91"/>
      <c r="W2" s="92"/>
      <c r="X2" s="92"/>
    </row>
    <row r="3" spans="1:24" x14ac:dyDescent="0.25">
      <c r="A3" s="81">
        <v>7</v>
      </c>
      <c r="B3" s="81">
        <v>7</v>
      </c>
      <c r="C3" s="82">
        <v>6</v>
      </c>
      <c r="D3" s="82">
        <v>6</v>
      </c>
      <c r="E3" s="83"/>
      <c r="F3" s="83"/>
      <c r="G3" s="84"/>
      <c r="H3" s="84"/>
      <c r="I3" s="85"/>
      <c r="J3" s="85"/>
      <c r="K3" s="86"/>
      <c r="L3" s="86"/>
      <c r="M3" s="87"/>
      <c r="N3" s="87"/>
      <c r="O3" s="88"/>
      <c r="P3" s="88"/>
      <c r="Q3" s="89"/>
      <c r="R3" s="89"/>
      <c r="S3" s="90"/>
      <c r="T3" s="90"/>
      <c r="U3" s="91"/>
      <c r="V3" s="91"/>
      <c r="W3" s="92"/>
      <c r="X3" s="92"/>
    </row>
    <row r="4" spans="1:24" x14ac:dyDescent="0.25">
      <c r="A4" s="93">
        <f>AVERAGE(A1:B3)</f>
        <v>7.666666666666667</v>
      </c>
      <c r="B4" s="94"/>
      <c r="C4" s="95">
        <f>AVERAGE(C1:D3)</f>
        <v>6.5</v>
      </c>
      <c r="D4" s="94"/>
      <c r="E4" s="96">
        <f>AVERAGE(E1:F3)</f>
        <v>6.75</v>
      </c>
      <c r="F4" s="94"/>
      <c r="G4" s="97" t="e">
        <f>AVERAGE(G1:H3)</f>
        <v>#DIV/0!</v>
      </c>
      <c r="H4" s="94"/>
      <c r="I4" s="98" t="e">
        <f>AVERAGE(I1:J3)</f>
        <v>#DIV/0!</v>
      </c>
      <c r="J4" s="94"/>
      <c r="K4" s="99" t="e">
        <f>AVERAGE(K1:L3)</f>
        <v>#DIV/0!</v>
      </c>
      <c r="L4" s="94"/>
      <c r="M4" s="100" t="e">
        <f>AVERAGE(M1:N3)</f>
        <v>#DIV/0!</v>
      </c>
      <c r="N4" s="94"/>
      <c r="O4" s="101" t="e">
        <f>AVERAGE(O1:P3)</f>
        <v>#DIV/0!</v>
      </c>
      <c r="P4" s="94"/>
      <c r="Q4" s="102" t="e">
        <f>AVERAGE(Q1:R3)</f>
        <v>#DIV/0!</v>
      </c>
      <c r="R4" s="94"/>
      <c r="S4" s="103" t="e">
        <f>AVERAGE(S1:T3)</f>
        <v>#DIV/0!</v>
      </c>
      <c r="T4" s="94"/>
      <c r="U4" s="104" t="e">
        <f>AVERAGE(U1:V3)</f>
        <v>#DIV/0!</v>
      </c>
      <c r="V4" s="94"/>
      <c r="W4" s="105" t="e">
        <f>AVERAGE(W1:X3)</f>
        <v>#DIV/0!</v>
      </c>
      <c r="X4" s="94"/>
    </row>
    <row r="6" spans="1:24" x14ac:dyDescent="0.25">
      <c r="A6" s="8" t="s">
        <v>7</v>
      </c>
      <c r="C6" s="8">
        <v>2</v>
      </c>
      <c r="E6" s="8">
        <v>3</v>
      </c>
      <c r="G6" s="8">
        <v>4</v>
      </c>
      <c r="I6" s="8">
        <v>5</v>
      </c>
      <c r="K6" s="8">
        <v>6</v>
      </c>
      <c r="M6" s="8">
        <v>7</v>
      </c>
      <c r="O6" s="8">
        <v>8</v>
      </c>
      <c r="Q6" s="8">
        <v>9</v>
      </c>
      <c r="S6" s="8">
        <v>10</v>
      </c>
      <c r="U6" s="8">
        <v>11</v>
      </c>
      <c r="W6" s="8">
        <v>12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T1</vt:lpstr>
      <vt:lpstr>T2</vt:lpstr>
      <vt:lpstr>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Bim Jim</dc:creator>
  <cp:lastModifiedBy>Bim Jim</cp:lastModifiedBy>
  <cp:lastPrinted>2018-12-26T05:35:25Z</cp:lastPrinted>
  <dcterms:created xsi:type="dcterms:W3CDTF">2018-12-25T18:43:12Z</dcterms:created>
  <dcterms:modified xsi:type="dcterms:W3CDTF">2019-01-24T17:38:11Z</dcterms:modified>
</cp:coreProperties>
</file>